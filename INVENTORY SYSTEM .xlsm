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Notes\INTODUCTION TO SOFTWARE ENGINEERING\"/>
    </mc:Choice>
  </mc:AlternateContent>
  <xr:revisionPtr revIDLastSave="0" documentId="13_ncr:1_{825C21D0-27D8-49AC-B651-F47583666ED1}" xr6:coauthVersionLast="36" xr6:coauthVersionMax="36" xr10:uidLastSave="{00000000-0000-0000-0000-000000000000}"/>
  <bookViews>
    <workbookView xWindow="0" yWindow="0" windowWidth="20490" windowHeight="7545" xr2:uid="{9687BC44-16D1-4803-8E7A-4C5B856D7F45}"/>
  </bookViews>
  <sheets>
    <sheet name="Inventory Management" sheetId="1" r:id="rId1"/>
    <sheet name="Dashboard Data" sheetId="2" r:id="rId2"/>
    <sheet name="Students " sheetId="3" r:id="rId3"/>
    <sheet name="Suppliers" sheetId="4" r:id="rId4"/>
    <sheet name="Items " sheetId="5" r:id="rId5"/>
    <sheet name="Orders" sheetId="6" r:id="rId6"/>
    <sheet name="ORDER ITEMS" sheetId="7" r:id="rId7"/>
  </sheets>
  <externalReferences>
    <externalReference r:id="rId8"/>
  </externalReferences>
  <definedNames>
    <definedName name="_xlnm.Criteria" localSheetId="3">Suppliers!$M$2:$M$3</definedName>
    <definedName name="_xlnm.Criteria">'Students '!$M$2:$M$3</definedName>
    <definedName name="Item._ID">OFFSET('Items '!$A$3,1,,COUNTA('Items '!$A$3:$A$159)-1,1)</definedName>
    <definedName name="Item.Name">OFFSET('Items '!$B$3,1,,COUNTA('Items '!$B$3:$B$376)-1,1)</definedName>
    <definedName name="Order_Date">OFFSET(Orders!$D$3,1,,COUNTA(Orders!$D$3:$D$302)-1,1)</definedName>
    <definedName name="Order_ID">OFFSET(Orders!$A$3,1,,COUNTA(Orders!$A$3:$A$158)-1,1)</definedName>
    <definedName name="Stud_ID">OFFSET('Students '!$A$3,1,,COUNTA('Students '!$A$3:$A$356)-1,1)</definedName>
    <definedName name="Stud_Name" localSheetId="2">OFFSET('Students '!$B$3,1,,COUNTA('Students '!$B$3:$B$990)-1,1)</definedName>
    <definedName name="Student_ID">OFFSET('Students '!$A$3,1,,COUNTA('Students '!$A$3:$A$190)-1,1)</definedName>
    <definedName name="Student_Name">OFFSET('Students '!$B$3,1,,COUNTA('Students '!$B$3:$B$990)-1,1)</definedName>
    <definedName name="Supp_ID">OFFSET(Suppliers!$A$3,1,,COUNTA(Suppliers!$A$3:$A$122)-1,1)</definedName>
    <definedName name="Supplier_Name" localSheetId="3">OFFSET(Suppliers!$B$3,1,,COUNTA(Suppliers!$B$3:$B$103)-1,1)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AL10" i="1" l="1"/>
  <c r="AL9" i="1"/>
  <c r="AF10" i="1"/>
  <c r="AF9" i="1"/>
  <c r="U10" i="1"/>
  <c r="U9" i="1"/>
  <c r="B15" i="1"/>
  <c r="B13" i="1"/>
  <c r="B11" i="1"/>
  <c r="M3" i="4"/>
  <c r="D5" i="4"/>
  <c r="B8" i="1"/>
  <c r="B6" i="1"/>
  <c r="B5" i="1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" i="6"/>
  <c r="F4" i="7"/>
  <c r="F5" i="7"/>
  <c r="F6" i="7"/>
  <c r="F7" i="7"/>
  <c r="F8" i="7"/>
  <c r="F9" i="7"/>
  <c r="F10" i="7"/>
  <c r="F11" i="7"/>
  <c r="D4" i="4"/>
  <c r="F5" i="5"/>
  <c r="F6" i="5"/>
  <c r="F7" i="5"/>
  <c r="F8" i="5"/>
  <c r="F9" i="5"/>
  <c r="F10" i="5"/>
  <c r="F11" i="5"/>
  <c r="F5" i="3"/>
  <c r="F6" i="3"/>
  <c r="F7" i="3"/>
  <c r="F8" i="3"/>
  <c r="F9" i="3"/>
  <c r="F10" i="3"/>
  <c r="F11" i="3"/>
  <c r="F12" i="3"/>
  <c r="F13" i="3"/>
  <c r="F14" i="3"/>
  <c r="F4" i="3"/>
  <c r="F4" i="5"/>
  <c r="E8" i="1"/>
  <c r="E4" i="1"/>
  <c r="M3" i="3" l="1"/>
  <c r="D5" i="1"/>
</calcChain>
</file>

<file path=xl/sharedStrings.xml><?xml version="1.0" encoding="utf-8"?>
<sst xmlns="http://schemas.openxmlformats.org/spreadsheetml/2006/main" count="285" uniqueCount="110">
  <si>
    <t xml:space="preserve">Order Load </t>
  </si>
  <si>
    <t xml:space="preserve">Order # </t>
  </si>
  <si>
    <t>New Order #</t>
  </si>
  <si>
    <t>Order Row</t>
  </si>
  <si>
    <t>Selected Order Row</t>
  </si>
  <si>
    <t>search Order Row</t>
  </si>
  <si>
    <t>Sel. Supp Row</t>
  </si>
  <si>
    <t>Next Supp. ID</t>
  </si>
  <si>
    <t>Sel.Tab</t>
  </si>
  <si>
    <t>Stud/supp Row</t>
  </si>
  <si>
    <t>Sel. Stud Row</t>
  </si>
  <si>
    <t>Next Stud. ID</t>
  </si>
  <si>
    <t xml:space="preserve"> </t>
  </si>
  <si>
    <t>Order Date</t>
  </si>
  <si>
    <t xml:space="preserve">Return Date </t>
  </si>
  <si>
    <t>Student Name</t>
  </si>
  <si>
    <t>Matricule</t>
  </si>
  <si>
    <t>Item</t>
  </si>
  <si>
    <t>Qty</t>
  </si>
  <si>
    <t>Phone Number</t>
  </si>
  <si>
    <t xml:space="preserve">Search Order </t>
  </si>
  <si>
    <t>Cust. Name</t>
  </si>
  <si>
    <t>STUDENTS LIST</t>
  </si>
  <si>
    <t>Stud ID</t>
  </si>
  <si>
    <t>Stud. Name</t>
  </si>
  <si>
    <t>ICTU email</t>
  </si>
  <si>
    <t>Phone</t>
  </si>
  <si>
    <t>Betty White Smith</t>
  </si>
  <si>
    <t>Dolores Richman</t>
  </si>
  <si>
    <t>Jackie Tubman</t>
  </si>
  <si>
    <t>John James</t>
  </si>
  <si>
    <t>Lisia Perkins</t>
  </si>
  <si>
    <t>Mary Badger</t>
  </si>
  <si>
    <t>Nancy Smith</t>
  </si>
  <si>
    <t>Sandy Beach</t>
  </si>
  <si>
    <t>Fred Fredders</t>
  </si>
  <si>
    <t>Frank Costanza</t>
  </si>
  <si>
    <t>John J. James</t>
  </si>
  <si>
    <t>ICTU35341</t>
  </si>
  <si>
    <t>ICTU69816</t>
  </si>
  <si>
    <t>ICTU57439</t>
  </si>
  <si>
    <t>ICTU95515</t>
  </si>
  <si>
    <t>ICTU75119</t>
  </si>
  <si>
    <t>ICTU18065</t>
  </si>
  <si>
    <t>ICTU39456</t>
  </si>
  <si>
    <t>ICTU78200</t>
  </si>
  <si>
    <t>ICTU90212</t>
  </si>
  <si>
    <t>ICTU90232</t>
  </si>
  <si>
    <t>BettyWhite@ictuniversity.edu.cm</t>
  </si>
  <si>
    <t>DoloresRichman@ictuniversity.edu.cm</t>
  </si>
  <si>
    <t>JackieTubman@ictuniversity.edu.cm</t>
  </si>
  <si>
    <t>John_James@ictuniversity.edu.cm</t>
  </si>
  <si>
    <t>LisiaPerkins@ictuniversity.edu.cm</t>
  </si>
  <si>
    <t>MaryBadger@ictuniversity.edu.cm</t>
  </si>
  <si>
    <t>NancySmith@ictuniversity.edu.cm</t>
  </si>
  <si>
    <t>SandyBeach@ictuniversity.edu.cm</t>
  </si>
  <si>
    <t>Fred@ictuniversity.edu.cm</t>
  </si>
  <si>
    <t>Frank@ictuniversity.edu.cm</t>
  </si>
  <si>
    <t>Test@ictuniversity.edu.cm</t>
  </si>
  <si>
    <t>CRITERIA</t>
  </si>
  <si>
    <t>RESULTS</t>
  </si>
  <si>
    <t>Row</t>
  </si>
  <si>
    <t>ORDER LIST</t>
  </si>
  <si>
    <t>Order #</t>
  </si>
  <si>
    <t>Order Type</t>
  </si>
  <si>
    <t>Supplier</t>
  </si>
  <si>
    <t>Sign out</t>
  </si>
  <si>
    <t>Return</t>
  </si>
  <si>
    <t>CISCO lab</t>
  </si>
  <si>
    <t xml:space="preserve">Admin office </t>
  </si>
  <si>
    <t xml:space="preserve">CISCO lab </t>
  </si>
  <si>
    <t>Order Time</t>
  </si>
  <si>
    <t>Return Time</t>
  </si>
  <si>
    <t>Return Date</t>
  </si>
  <si>
    <t>ITEM LIST</t>
  </si>
  <si>
    <t>Sel. Item Row</t>
  </si>
  <si>
    <t>Next Item ID</t>
  </si>
  <si>
    <t>Item. ID</t>
  </si>
  <si>
    <t>Item.Name</t>
  </si>
  <si>
    <t>Quantity</t>
  </si>
  <si>
    <t>Location</t>
  </si>
  <si>
    <t xml:space="preserve">In Stock </t>
  </si>
  <si>
    <t>Projector</t>
  </si>
  <si>
    <t>HDMI cable</t>
  </si>
  <si>
    <t>Sockets</t>
  </si>
  <si>
    <t>Monitor/Screen</t>
  </si>
  <si>
    <t>RJ45 cables</t>
  </si>
  <si>
    <t xml:space="preserve">Board Markers </t>
  </si>
  <si>
    <t xml:space="preserve">Speaker </t>
  </si>
  <si>
    <t>Mic</t>
  </si>
  <si>
    <t>SUPPLIER LIST</t>
  </si>
  <si>
    <t>Supp ID</t>
  </si>
  <si>
    <t>Supplier Name</t>
  </si>
  <si>
    <t>Second Floor</t>
  </si>
  <si>
    <t xml:space="preserve">Third Floor </t>
  </si>
  <si>
    <t>ORDER ITEMS</t>
  </si>
  <si>
    <t>Order ID</t>
  </si>
  <si>
    <t>Item Row</t>
  </si>
  <si>
    <t>DB Row</t>
  </si>
  <si>
    <t>Current Location</t>
  </si>
  <si>
    <t xml:space="preserve">B.S Chombow Hall </t>
  </si>
  <si>
    <t xml:space="preserve">IT Hall </t>
  </si>
  <si>
    <t xml:space="preserve">Goerge Barika Hall </t>
  </si>
  <si>
    <t xml:space="preserve">Erik Barika Hall </t>
  </si>
  <si>
    <t xml:space="preserve">Terry&amp;Linda Hall </t>
  </si>
  <si>
    <t>Search Student</t>
  </si>
  <si>
    <t>Student. Name</t>
  </si>
  <si>
    <t>Search Item</t>
  </si>
  <si>
    <t>Search Supplier</t>
  </si>
  <si>
    <t>STUDENTS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</si>
</sst>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F400]h:mm:ss\ AM/PM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6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49A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auto="1"/>
      </patternFill>
    </fill>
    <fill>
      <patternFill patternType="solid">
        <fgColor rgb="FF002060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 style="thin">
        <color rgb="FF002060"/>
      </left>
      <right style="medium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 style="medium">
        <color rgb="FF002060"/>
      </right>
      <top style="thin">
        <color rgb="FF00206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thin">
        <color indexed="64"/>
      </bottom>
      <diagonal/>
    </border>
    <border>
      <left/>
      <right style="medium">
        <color rgb="FF002060"/>
      </right>
      <top/>
      <bottom style="thin">
        <color indexed="64"/>
      </bottom>
      <diagonal/>
    </border>
    <border>
      <left style="thin">
        <color rgb="FF002060"/>
      </left>
      <right style="hair">
        <color rgb="FF002060"/>
      </right>
      <top style="medium">
        <color rgb="FF002060"/>
      </top>
      <bottom style="thin">
        <color rgb="FF002060"/>
      </bottom>
      <diagonal/>
    </border>
    <border>
      <left style="hair">
        <color rgb="FF002060"/>
      </left>
      <right style="thin">
        <color rgb="FF002060"/>
      </right>
      <top style="medium">
        <color rgb="FF002060"/>
      </top>
      <bottom style="thin">
        <color rgb="FF002060"/>
      </bottom>
      <diagonal/>
    </border>
    <border>
      <left style="medium">
        <color rgb="FF00206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002060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left"/>
    </xf>
    <xf numFmtId="0" fontId="0" fillId="4" borderId="1" xfId="0" applyFill="1" applyBorder="1" applyAlignment="1">
      <alignment horizontal="right"/>
    </xf>
    <xf numFmtId="0" fontId="0" fillId="4" borderId="1" xfId="0" applyFill="1" applyBorder="1" applyAlignment="1">
      <alignment horizontal="left"/>
    </xf>
    <xf numFmtId="0" fontId="0" fillId="3" borderId="1" xfId="0" applyFill="1" applyBorder="1" applyAlignment="1">
      <alignment horizontal="right"/>
    </xf>
    <xf numFmtId="0" fontId="0" fillId="3" borderId="1" xfId="0" applyFill="1" applyBorder="1" applyAlignment="1">
      <alignment horizontal="left"/>
    </xf>
    <xf numFmtId="0" fontId="0" fillId="3" borderId="1" xfId="0" applyFill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6" borderId="7" xfId="0" applyFill="1" applyBorder="1"/>
    <xf numFmtId="0" fontId="0" fillId="6" borderId="8" xfId="0" applyFill="1" applyBorder="1"/>
    <xf numFmtId="0" fontId="2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9" xfId="0" applyFill="1" applyBorder="1"/>
    <xf numFmtId="0" fontId="1" fillId="7" borderId="7" xfId="0" applyFont="1" applyFill="1" applyBorder="1" applyAlignment="1">
      <alignment horizontal="center"/>
    </xf>
    <xf numFmtId="0" fontId="0" fillId="0" borderId="7" xfId="0" applyBorder="1" applyAlignment="1">
      <alignment horizontal="right" vertical="center"/>
    </xf>
    <xf numFmtId="14" fontId="0" fillId="6" borderId="5" xfId="0" applyNumberFormat="1" applyFill="1" applyBorder="1"/>
    <xf numFmtId="164" fontId="0" fillId="6" borderId="6" xfId="0" applyNumberFormat="1" applyFill="1" applyBorder="1"/>
    <xf numFmtId="14" fontId="0" fillId="6" borderId="6" xfId="0" applyNumberFormat="1" applyFill="1" applyBorder="1"/>
    <xf numFmtId="164" fontId="0" fillId="6" borderId="10" xfId="0" applyNumberFormat="1" applyFill="1" applyBorder="1"/>
    <xf numFmtId="0" fontId="0" fillId="0" borderId="0" xfId="0" applyFill="1" applyBorder="1"/>
    <xf numFmtId="0" fontId="3" fillId="0" borderId="2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5" fillId="0" borderId="0" xfId="1"/>
    <xf numFmtId="0" fontId="6" fillId="7" borderId="0" xfId="0" applyFont="1" applyFill="1" applyAlignment="1">
      <alignment vertical="center"/>
    </xf>
    <xf numFmtId="0" fontId="1" fillId="8" borderId="12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5" fillId="0" borderId="0" xfId="1" applyFill="1"/>
    <xf numFmtId="14" fontId="1" fillId="8" borderId="1" xfId="0" applyNumberFormat="1" applyFont="1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4" fillId="0" borderId="0" xfId="0" applyFont="1" applyFill="1" applyAlignment="1">
      <alignment vertical="center"/>
    </xf>
    <xf numFmtId="0" fontId="8" fillId="10" borderId="1" xfId="0" applyFont="1" applyFill="1" applyBorder="1" applyAlignment="1">
      <alignment horizontal="center"/>
    </xf>
    <xf numFmtId="0" fontId="0" fillId="11" borderId="14" xfId="0" applyFont="1" applyFill="1" applyBorder="1" applyAlignment="1">
      <alignment horizontal="center"/>
    </xf>
    <xf numFmtId="0" fontId="0" fillId="11" borderId="15" xfId="0" applyFont="1" applyFill="1" applyBorder="1"/>
    <xf numFmtId="0" fontId="0" fillId="0" borderId="14" xfId="0" applyFont="1" applyBorder="1" applyAlignment="1">
      <alignment horizontal="center"/>
    </xf>
    <xf numFmtId="0" fontId="0" fillId="0" borderId="15" xfId="0" applyFont="1" applyBorder="1"/>
    <xf numFmtId="0" fontId="9" fillId="0" borderId="0" xfId="0" applyFont="1"/>
    <xf numFmtId="0" fontId="10" fillId="0" borderId="0" xfId="0" applyFont="1"/>
    <xf numFmtId="0" fontId="0" fillId="11" borderId="16" xfId="0" applyFont="1" applyFill="1" applyBorder="1" applyAlignment="1">
      <alignment horizontal="center"/>
    </xf>
    <xf numFmtId="0" fontId="0" fillId="0" borderId="16" xfId="0" applyFont="1" applyFill="1" applyBorder="1" applyAlignment="1">
      <alignment horizontal="center"/>
    </xf>
    <xf numFmtId="0" fontId="0" fillId="0" borderId="0" xfId="0" applyFont="1" applyFill="1" applyBorder="1"/>
    <xf numFmtId="0" fontId="6" fillId="7" borderId="0" xfId="0" applyFont="1" applyFill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0" fillId="0" borderId="2" xfId="0" applyBorder="1"/>
    <xf numFmtId="0" fontId="0" fillId="0" borderId="17" xfId="0" applyBorder="1"/>
    <xf numFmtId="0" fontId="0" fillId="0" borderId="18" xfId="0" applyBorder="1"/>
    <xf numFmtId="0" fontId="0" fillId="6" borderId="22" xfId="0" applyFill="1" applyBorder="1"/>
    <xf numFmtId="0" fontId="13" fillId="0" borderId="21" xfId="0" applyFont="1" applyBorder="1"/>
    <xf numFmtId="0" fontId="0" fillId="0" borderId="15" xfId="0" applyFont="1" applyFill="1" applyBorder="1"/>
    <xf numFmtId="0" fontId="0" fillId="0" borderId="15" xfId="0" applyNumberFormat="1" applyFont="1" applyFill="1" applyBorder="1"/>
    <xf numFmtId="0" fontId="0" fillId="0" borderId="15" xfId="2" applyNumberFormat="1" applyFont="1" applyFill="1" applyBorder="1"/>
    <xf numFmtId="0" fontId="9" fillId="0" borderId="0" xfId="0" applyFont="1" applyFill="1"/>
    <xf numFmtId="0" fontId="10" fillId="0" borderId="0" xfId="0" applyFont="1" applyFill="1"/>
    <xf numFmtId="44" fontId="0" fillId="0" borderId="15" xfId="2" applyNumberFormat="1" applyFont="1" applyFill="1" applyBorder="1"/>
    <xf numFmtId="0" fontId="12" fillId="13" borderId="12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2" applyNumberFormat="1" applyFont="1" applyFill="1" applyBorder="1"/>
    <xf numFmtId="0" fontId="9" fillId="0" borderId="0" xfId="0" applyFont="1" applyFill="1" applyBorder="1"/>
    <xf numFmtId="0" fontId="10" fillId="0" borderId="0" xfId="0" applyFont="1" applyFill="1" applyBorder="1"/>
    <xf numFmtId="44" fontId="0" fillId="0" borderId="0" xfId="2" applyNumberFormat="1" applyFont="1" applyFill="1" applyBorder="1"/>
    <xf numFmtId="0" fontId="0" fillId="0" borderId="1" xfId="0" applyBorder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NumberFormat="1" applyFont="1" applyFill="1" applyBorder="1"/>
    <xf numFmtId="0" fontId="0" fillId="0" borderId="1" xfId="2" applyNumberFormat="1" applyFont="1" applyFill="1" applyBorder="1"/>
    <xf numFmtId="0" fontId="0" fillId="0" borderId="1" xfId="0" applyFill="1" applyBorder="1"/>
    <xf numFmtId="0" fontId="9" fillId="0" borderId="1" xfId="0" applyFont="1" applyFill="1" applyBorder="1"/>
    <xf numFmtId="0" fontId="12" fillId="12" borderId="23" xfId="0" applyFont="1" applyFill="1" applyBorder="1" applyAlignment="1">
      <alignment horizontal="center"/>
    </xf>
    <xf numFmtId="0" fontId="12" fillId="12" borderId="12" xfId="0" applyFont="1" applyFill="1" applyBorder="1" applyAlignment="1">
      <alignment horizontal="center"/>
    </xf>
    <xf numFmtId="0" fontId="12" fillId="12" borderId="2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1" applyBorder="1"/>
    <xf numFmtId="0" fontId="0" fillId="0" borderId="0" xfId="0" applyBorder="1" applyAlignment="1">
      <alignment horizontal="center"/>
    </xf>
    <xf numFmtId="0" fontId="5" fillId="0" borderId="0" xfId="1" applyBorder="1"/>
    <xf numFmtId="0" fontId="11" fillId="12" borderId="4" xfId="0" applyFont="1" applyFill="1" applyBorder="1" applyAlignment="1">
      <alignment horizontal="center" vertical="center"/>
    </xf>
    <xf numFmtId="0" fontId="11" fillId="12" borderId="0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 vertical="center"/>
    </xf>
    <xf numFmtId="0" fontId="11" fillId="12" borderId="19" xfId="0" applyFont="1" applyFill="1" applyBorder="1" applyAlignment="1">
      <alignment horizontal="center" vertical="center"/>
    </xf>
    <xf numFmtId="0" fontId="11" fillId="12" borderId="11" xfId="0" applyFont="1" applyFill="1" applyBorder="1" applyAlignment="1">
      <alignment horizontal="center" vertical="center"/>
    </xf>
    <xf numFmtId="0" fontId="11" fillId="12" borderId="20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11" fillId="12" borderId="0" xfId="0" applyFont="1" applyFill="1" applyAlignment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2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59999389629810485"/>
          </stop>
          <stop position="1">
            <color theme="4" tint="0.59999389629810485"/>
          </stop>
        </gradientFill>
      </fill>
      <border>
        <left style="thin">
          <color rgb="FF002060"/>
        </left>
        <right style="thin">
          <color rgb="FF002060"/>
        </right>
        <bottom style="thin">
          <color rgb="FF002060"/>
        </bottom>
        <vertical/>
        <horizontal/>
      </border>
    </dxf>
    <dxf>
      <fill>
        <patternFill>
          <bgColor theme="0"/>
        </patternFill>
      </fill>
      <border>
        <left style="thin">
          <color rgb="FF002060"/>
        </left>
        <right style="thin">
          <color rgb="FF002060"/>
        </right>
        <bottom style="thin">
          <color rgb="FF002060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002060"/>
          </stop>
          <stop position="1">
            <color theme="4" tint="-0.25098422193060094"/>
          </stop>
        </gradientFill>
      </fill>
    </dxf>
  </dxfs>
  <tableStyles count="0" defaultTableStyle="TableStyleMedium2" defaultPivotStyle="PivotStyleLight16"/>
  <colors>
    <mruColors>
      <color rgb="FFDDE4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47626</xdr:colOff>
      <xdr:row>0</xdr:row>
      <xdr:rowOff>38099</xdr:rowOff>
    </xdr:from>
    <xdr:to>
      <xdr:col>14</xdr:col>
      <xdr:colOff>1143000</xdr:colOff>
      <xdr:row>1</xdr:row>
      <xdr:rowOff>558165</xdr:rowOff>
    </xdr:to>
    <xdr:grpSp>
      <xdr:nvGrpSpPr>
        <xdr:cNvPr id="8" name="IMSGroup">
          <a:extLst>
            <a:ext uri="{FF2B5EF4-FFF2-40B4-BE49-F238E27FC236}">
              <a16:creationId xmlns:a16="http://schemas.microsoft.com/office/drawing/2014/main" id="{3DDA4969-EE44-4E97-B338-55EB4A8978A2}"/>
            </a:ext>
          </a:extLst>
        </xdr:cNvPr>
        <xdr:cNvGrpSpPr/>
      </xdr:nvGrpSpPr>
      <xdr:grpSpPr>
        <a:xfrm>
          <a:off x="661459" y="38099"/>
          <a:ext cx="12281958" cy="1049233"/>
          <a:chOff x="3012281" y="38099"/>
          <a:chExt cx="12091511" cy="1043941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9584592-6A71-427F-99EA-18685A54A15A}"/>
              </a:ext>
            </a:extLst>
          </xdr:cNvPr>
          <xdr:cNvSpPr txBox="1"/>
        </xdr:nvSpPr>
        <xdr:spPr>
          <a:xfrm>
            <a:off x="3012281" y="38099"/>
            <a:ext cx="10029824" cy="5048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002060"/>
                </a:solidFill>
                <a:latin typeface="Arial Rounded MT Bold" panose="020F0704030504030204" pitchFamily="34" charset="0"/>
              </a:rPr>
              <a:t>INVENTORY MANAGEMENT SYSTEM 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85F3DCC5-6767-471A-B647-0EF4AB9066A4}"/>
              </a:ext>
            </a:extLst>
          </xdr:cNvPr>
          <xdr:cNvSpPr/>
        </xdr:nvSpPr>
        <xdr:spPr>
          <a:xfrm>
            <a:off x="3507580" y="533400"/>
            <a:ext cx="2006918" cy="548640"/>
          </a:xfrm>
          <a:prstGeom prst="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600">
                <a:solidFill>
                  <a:srgbClr val="FFC000"/>
                </a:solidFill>
              </a:rPr>
              <a:t>STUDENTS</a:t>
            </a:r>
          </a:p>
        </xdr:txBody>
      </xdr:sp>
      <xdr:sp macro="[0]!Menu_Select" textlink="">
        <xdr:nvSpPr>
          <xdr:cNvPr id="4" name="MenuItem2">
            <a:extLst>
              <a:ext uri="{FF2B5EF4-FFF2-40B4-BE49-F238E27FC236}">
                <a16:creationId xmlns:a16="http://schemas.microsoft.com/office/drawing/2014/main" id="{1554DDCC-DC5E-429A-8209-2041C6AC8323}"/>
              </a:ext>
            </a:extLst>
          </xdr:cNvPr>
          <xdr:cNvSpPr/>
        </xdr:nvSpPr>
        <xdr:spPr>
          <a:xfrm>
            <a:off x="5903118" y="533400"/>
            <a:ext cx="2014061" cy="548640"/>
          </a:xfrm>
          <a:prstGeom prst="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ctr"/>
            <a:r>
              <a:rPr lang="en-US" sz="1600">
                <a:solidFill>
                  <a:srgbClr val="FFC000"/>
                </a:solidFill>
              </a:rPr>
              <a:t>         ITEMS</a:t>
            </a:r>
          </a:p>
        </xdr:txBody>
      </xdr:sp>
      <xdr:sp macro="[0]!Menu_Select" textlink="">
        <xdr:nvSpPr>
          <xdr:cNvPr id="5" name="MenuItem3">
            <a:extLst>
              <a:ext uri="{FF2B5EF4-FFF2-40B4-BE49-F238E27FC236}">
                <a16:creationId xmlns:a16="http://schemas.microsoft.com/office/drawing/2014/main" id="{148544A4-9275-4710-B4ED-942CBEA75DC7}"/>
              </a:ext>
            </a:extLst>
          </xdr:cNvPr>
          <xdr:cNvSpPr/>
        </xdr:nvSpPr>
        <xdr:spPr>
          <a:xfrm>
            <a:off x="8305799" y="533400"/>
            <a:ext cx="2014061" cy="548640"/>
          </a:xfrm>
          <a:prstGeom prst="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600">
                <a:solidFill>
                  <a:srgbClr val="FFC000"/>
                </a:solidFill>
              </a:rPr>
              <a:t>SUPPLIERS </a:t>
            </a:r>
          </a:p>
        </xdr:txBody>
      </xdr:sp>
      <xdr:sp macro="[0]!Menu_Select" textlink="">
        <xdr:nvSpPr>
          <xdr:cNvPr id="6" name="Rectangle 5">
            <a:extLst>
              <a:ext uri="{FF2B5EF4-FFF2-40B4-BE49-F238E27FC236}">
                <a16:creationId xmlns:a16="http://schemas.microsoft.com/office/drawing/2014/main" id="{B50D7C37-BA3D-41BC-B8AF-88E2F87D6AEF}"/>
              </a:ext>
            </a:extLst>
          </xdr:cNvPr>
          <xdr:cNvSpPr/>
        </xdr:nvSpPr>
        <xdr:spPr>
          <a:xfrm>
            <a:off x="10708480" y="533400"/>
            <a:ext cx="2004537" cy="548640"/>
          </a:xfrm>
          <a:prstGeom prst="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ctr"/>
            <a:r>
              <a:rPr lang="en-US" sz="1600">
                <a:solidFill>
                  <a:srgbClr val="FFC000"/>
                </a:solidFill>
              </a:rPr>
              <a:t>            ORDERS</a:t>
            </a:r>
          </a:p>
        </xdr:txBody>
      </xdr:sp>
      <xdr:sp macro="[0]!Menu_Select" textlink="">
        <xdr:nvSpPr>
          <xdr:cNvPr id="7" name="MenuItem5">
            <a:extLst>
              <a:ext uri="{FF2B5EF4-FFF2-40B4-BE49-F238E27FC236}">
                <a16:creationId xmlns:a16="http://schemas.microsoft.com/office/drawing/2014/main" id="{438A6A53-1571-4146-BB76-16731CB46A0D}"/>
              </a:ext>
            </a:extLst>
          </xdr:cNvPr>
          <xdr:cNvSpPr/>
        </xdr:nvSpPr>
        <xdr:spPr>
          <a:xfrm>
            <a:off x="13099255" y="533400"/>
            <a:ext cx="2004537" cy="548640"/>
          </a:xfrm>
          <a:prstGeom prst="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600">
                <a:solidFill>
                  <a:srgbClr val="FFC000"/>
                </a:solidFill>
              </a:rPr>
              <a:t>DASHBOARD</a:t>
            </a:r>
          </a:p>
        </xdr:txBody>
      </xdr: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4217572A-A052-4A02-B35C-BE87B8CB0DA5}"/>
              </a:ext>
            </a:extLst>
          </xdr:cNvPr>
          <xdr:cNvCxnSpPr>
            <a:stCxn id="3" idx="3"/>
            <a:endCxn id="4" idx="1"/>
          </xdr:cNvCxnSpPr>
        </xdr:nvCxnSpPr>
        <xdr:spPr>
          <a:xfrm>
            <a:off x="5514498" y="807720"/>
            <a:ext cx="388620" cy="0"/>
          </a:xfrm>
          <a:prstGeom prst="line">
            <a:avLst/>
          </a:prstGeom>
          <a:ln w="38100">
            <a:solidFill>
              <a:srgbClr val="00206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FC4F182B-0EA0-4386-9A90-EDDEFB8A1568}"/>
              </a:ext>
            </a:extLst>
          </xdr:cNvPr>
          <xdr:cNvCxnSpPr/>
        </xdr:nvCxnSpPr>
        <xdr:spPr>
          <a:xfrm>
            <a:off x="7917179" y="793432"/>
            <a:ext cx="388620" cy="0"/>
          </a:xfrm>
          <a:prstGeom prst="line">
            <a:avLst/>
          </a:prstGeom>
          <a:ln w="38100">
            <a:solidFill>
              <a:srgbClr val="00206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A63E493A-4387-47E9-8A68-CBE2F3DC3015}"/>
              </a:ext>
            </a:extLst>
          </xdr:cNvPr>
          <xdr:cNvCxnSpPr/>
        </xdr:nvCxnSpPr>
        <xdr:spPr>
          <a:xfrm>
            <a:off x="10307954" y="779144"/>
            <a:ext cx="388620" cy="0"/>
          </a:xfrm>
          <a:prstGeom prst="line">
            <a:avLst/>
          </a:prstGeom>
          <a:ln w="38100">
            <a:solidFill>
              <a:srgbClr val="00206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1C31D5BC-C6C2-4574-A78D-649CB7260E58}"/>
              </a:ext>
            </a:extLst>
          </xdr:cNvPr>
          <xdr:cNvCxnSpPr/>
        </xdr:nvCxnSpPr>
        <xdr:spPr>
          <a:xfrm>
            <a:off x="12698729" y="764856"/>
            <a:ext cx="388620" cy="0"/>
          </a:xfrm>
          <a:prstGeom prst="line">
            <a:avLst/>
          </a:prstGeom>
          <a:ln w="38100">
            <a:solidFill>
              <a:srgbClr val="00206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37" name="MenuIcon5">
            <a:extLst>
              <a:ext uri="{FF2B5EF4-FFF2-40B4-BE49-F238E27FC236}">
                <a16:creationId xmlns:a16="http://schemas.microsoft.com/office/drawing/2014/main" id="{5A455834-343C-4A41-84C3-742CD1B28D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4905" y="588093"/>
            <a:ext cx="483470" cy="483470"/>
          </a:xfrm>
          <a:prstGeom prst="rect">
            <a:avLst/>
          </a:prstGeom>
          <a:ln>
            <a:noFill/>
          </a:ln>
        </xdr:spPr>
      </xdr:pic>
      <xdr:pic macro="[0]!Menu_Select">
        <xdr:nvPicPr>
          <xdr:cNvPr id="39" name="MenuIcon4">
            <a:extLst>
              <a:ext uri="{FF2B5EF4-FFF2-40B4-BE49-F238E27FC236}">
                <a16:creationId xmlns:a16="http://schemas.microsoft.com/office/drawing/2014/main" id="{48DF6A36-D1C0-4BF8-87B8-13A9431F31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65561" y="559498"/>
            <a:ext cx="428719" cy="428719"/>
          </a:xfrm>
          <a:prstGeom prst="rect">
            <a:avLst/>
          </a:prstGeom>
        </xdr:spPr>
      </xdr:pic>
      <xdr:pic macro="[0]!Menu_Select">
        <xdr:nvPicPr>
          <xdr:cNvPr id="41" name="MenuIcon3">
            <a:extLst>
              <a:ext uri="{FF2B5EF4-FFF2-40B4-BE49-F238E27FC236}">
                <a16:creationId xmlns:a16="http://schemas.microsoft.com/office/drawing/2014/main" id="{E992FAFC-7419-464F-B7DE-8021C291CC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48560" y="554717"/>
            <a:ext cx="433501" cy="433501"/>
          </a:xfrm>
          <a:prstGeom prst="rect">
            <a:avLst/>
          </a:prstGeom>
        </xdr:spPr>
      </xdr:pic>
      <xdr:pic macro="[0]!Menu_Select">
        <xdr:nvPicPr>
          <xdr:cNvPr id="43" name="MenuIcon2">
            <a:extLst>
              <a:ext uri="{FF2B5EF4-FFF2-40B4-BE49-F238E27FC236}">
                <a16:creationId xmlns:a16="http://schemas.microsoft.com/office/drawing/2014/main" id="{229B314A-63A3-440A-B78E-5596568536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7780" y="549936"/>
            <a:ext cx="402563" cy="402563"/>
          </a:xfrm>
          <a:prstGeom prst="rect">
            <a:avLst/>
          </a:prstGeom>
        </xdr:spPr>
      </xdr:pic>
      <xdr:pic macro="[0]!Menu_Select">
        <xdr:nvPicPr>
          <xdr:cNvPr id="45" name="MenuIcon1">
            <a:extLst>
              <a:ext uri="{FF2B5EF4-FFF2-40B4-BE49-F238E27FC236}">
                <a16:creationId xmlns:a16="http://schemas.microsoft.com/office/drawing/2014/main" id="{0E42EE59-5C93-49CA-AE8B-FFE3895D58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64592" y="557061"/>
            <a:ext cx="478781" cy="478781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473868</xdr:colOff>
      <xdr:row>4</xdr:row>
      <xdr:rowOff>35717</xdr:rowOff>
    </xdr:from>
    <xdr:to>
      <xdr:col>13</xdr:col>
      <xdr:colOff>100963</xdr:colOff>
      <xdr:row>7</xdr:row>
      <xdr:rowOff>152400</xdr:rowOff>
    </xdr:to>
    <xdr:grpSp>
      <xdr:nvGrpSpPr>
        <xdr:cNvPr id="17" name="OrderGrp">
          <a:extLst>
            <a:ext uri="{FF2B5EF4-FFF2-40B4-BE49-F238E27FC236}">
              <a16:creationId xmlns:a16="http://schemas.microsoft.com/office/drawing/2014/main" id="{9F7AEB30-F59A-4B54-A051-F4E83B1BF6EC}"/>
            </a:ext>
          </a:extLst>
        </xdr:cNvPr>
        <xdr:cNvGrpSpPr/>
      </xdr:nvGrpSpPr>
      <xdr:grpSpPr>
        <a:xfrm>
          <a:off x="8421951" y="1623217"/>
          <a:ext cx="2865595" cy="762266"/>
          <a:chOff x="10772774" y="1619248"/>
          <a:chExt cx="2853689" cy="68818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80F81CFC-82F0-4EB6-B142-369053E068E6}"/>
              </a:ext>
            </a:extLst>
          </xdr:cNvPr>
          <xdr:cNvGrpSpPr/>
        </xdr:nvGrpSpPr>
        <xdr:grpSpPr>
          <a:xfrm>
            <a:off x="12389642" y="1974054"/>
            <a:ext cx="1234440" cy="319089"/>
            <a:chOff x="12389642" y="1974054"/>
            <a:chExt cx="1234440" cy="319089"/>
          </a:xfrm>
        </xdr:grpSpPr>
        <xdr:sp macro="" textlink="">
          <xdr:nvSpPr>
            <xdr:cNvPr id="32" name="MenuItem1">
              <a:extLst>
                <a:ext uri="{FF2B5EF4-FFF2-40B4-BE49-F238E27FC236}">
                  <a16:creationId xmlns:a16="http://schemas.microsoft.com/office/drawing/2014/main" id="{411A29DD-554F-4728-8E28-1433AF087876}"/>
                </a:ext>
              </a:extLst>
            </xdr:cNvPr>
            <xdr:cNvSpPr/>
          </xdr:nvSpPr>
          <xdr:spPr>
            <a:xfrm>
              <a:off x="12389642" y="1974054"/>
              <a:ext cx="1234440" cy="319089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>
                  <a:solidFill>
                    <a:srgbClr val="FFC000"/>
                  </a:solidFill>
                </a:rPr>
                <a:t>       Delete Order</a:t>
              </a:r>
              <a:endParaRPr lang="en-US" sz="1600">
                <a:solidFill>
                  <a:srgbClr val="FFC000"/>
                </a:solidFill>
              </a:endParaRPr>
            </a:p>
          </xdr:txBody>
        </xdr:sp>
        <xdr:pic>
          <xdr:nvPicPr>
            <xdr:cNvPr id="35" name="Picture 34">
              <a:extLst>
                <a:ext uri="{FF2B5EF4-FFF2-40B4-BE49-F238E27FC236}">
                  <a16:creationId xmlns:a16="http://schemas.microsoft.com/office/drawing/2014/main" id="{2B30BA16-F4AB-476B-9CB5-371926E23D9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475311" y="20335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AF1CE2E3-9D34-4CAE-AB63-8C76E71274EC}"/>
              </a:ext>
            </a:extLst>
          </xdr:cNvPr>
          <xdr:cNvGrpSpPr/>
        </xdr:nvGrpSpPr>
        <xdr:grpSpPr>
          <a:xfrm>
            <a:off x="10772774" y="1988342"/>
            <a:ext cx="1547814" cy="319089"/>
            <a:chOff x="10772774" y="1988342"/>
            <a:chExt cx="1547814" cy="319089"/>
          </a:xfrm>
        </xdr:grpSpPr>
        <xdr:sp macro="" textlink="">
          <xdr:nvSpPr>
            <xdr:cNvPr id="28" name="MenuItem1">
              <a:extLst>
                <a:ext uri="{FF2B5EF4-FFF2-40B4-BE49-F238E27FC236}">
                  <a16:creationId xmlns:a16="http://schemas.microsoft.com/office/drawing/2014/main" id="{C1BC34E0-4443-4D62-8625-8769A0875514}"/>
                </a:ext>
              </a:extLst>
            </xdr:cNvPr>
            <xdr:cNvSpPr/>
          </xdr:nvSpPr>
          <xdr:spPr>
            <a:xfrm>
              <a:off x="10772774" y="1988342"/>
              <a:ext cx="1547814" cy="319089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>
                  <a:solidFill>
                    <a:srgbClr val="FFC000"/>
                  </a:solidFill>
                </a:rPr>
                <a:t> Save/Udtate</a:t>
              </a:r>
              <a:endParaRPr lang="en-US" sz="1600">
                <a:solidFill>
                  <a:srgbClr val="FFC000"/>
                </a:solidFill>
              </a:endParaRPr>
            </a:p>
          </xdr:txBody>
        </xdr:sp>
        <xdr:pic>
          <xdr:nvPicPr>
            <xdr:cNvPr id="29" name="Picture 28">
              <a:extLst>
                <a:ext uri="{FF2B5EF4-FFF2-40B4-BE49-F238E27FC236}">
                  <a16:creationId xmlns:a16="http://schemas.microsoft.com/office/drawing/2014/main" id="{9E09BA83-6B0C-461C-8D03-C9C02BBF9A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29937" y="2059779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1850B717-A2A8-476A-82E0-FC75749EBDBA}"/>
              </a:ext>
            </a:extLst>
          </xdr:cNvPr>
          <xdr:cNvGrpSpPr/>
        </xdr:nvGrpSpPr>
        <xdr:grpSpPr>
          <a:xfrm>
            <a:off x="12392023" y="1619248"/>
            <a:ext cx="1234440" cy="319089"/>
            <a:chOff x="12392023" y="1619248"/>
            <a:chExt cx="1234440" cy="319089"/>
          </a:xfrm>
        </xdr:grpSpPr>
        <xdr:sp macro="" textlink="">
          <xdr:nvSpPr>
            <xdr:cNvPr id="30" name="MenuItem1">
              <a:extLst>
                <a:ext uri="{FF2B5EF4-FFF2-40B4-BE49-F238E27FC236}">
                  <a16:creationId xmlns:a16="http://schemas.microsoft.com/office/drawing/2014/main" id="{53D5BCEB-71E1-4C79-8D19-91A080F795B8}"/>
                </a:ext>
              </a:extLst>
            </xdr:cNvPr>
            <xdr:cNvSpPr/>
          </xdr:nvSpPr>
          <xdr:spPr>
            <a:xfrm>
              <a:off x="12392023" y="1619248"/>
              <a:ext cx="1234440" cy="319089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>
                  <a:solidFill>
                    <a:srgbClr val="FFC000"/>
                  </a:solidFill>
                </a:rPr>
                <a:t>     Print Order</a:t>
              </a:r>
              <a:endParaRPr lang="en-US" sz="1600">
                <a:solidFill>
                  <a:srgbClr val="FFC000"/>
                </a:solidFill>
              </a:endParaRPr>
            </a:p>
          </xdr:txBody>
        </xdr:sp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4B5894DA-AB98-46EC-ACDC-E273A5F5C0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484875" y="168590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802FB74A-1A41-4875-B4AE-36ABA884651B}"/>
              </a:ext>
            </a:extLst>
          </xdr:cNvPr>
          <xdr:cNvGrpSpPr/>
        </xdr:nvGrpSpPr>
        <xdr:grpSpPr>
          <a:xfrm>
            <a:off x="10775155" y="1633536"/>
            <a:ext cx="1547814" cy="319089"/>
            <a:chOff x="10775155" y="1633536"/>
            <a:chExt cx="1547814" cy="319089"/>
          </a:xfrm>
        </xdr:grpSpPr>
        <xdr:sp macro="" textlink="">
          <xdr:nvSpPr>
            <xdr:cNvPr id="27" name="MenuItem1">
              <a:extLst>
                <a:ext uri="{FF2B5EF4-FFF2-40B4-BE49-F238E27FC236}">
                  <a16:creationId xmlns:a16="http://schemas.microsoft.com/office/drawing/2014/main" id="{156A233C-EE6D-4EB9-AEDA-DFFE6E1E2421}"/>
                </a:ext>
              </a:extLst>
            </xdr:cNvPr>
            <xdr:cNvSpPr/>
          </xdr:nvSpPr>
          <xdr:spPr>
            <a:xfrm>
              <a:off x="10775155" y="1633536"/>
              <a:ext cx="1547814" cy="319089"/>
            </a:xfrm>
            <a:prstGeom prst="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>
                  <a:solidFill>
                    <a:srgbClr val="FFC000"/>
                  </a:solidFill>
                </a:rPr>
                <a:t>      Add New Order</a:t>
              </a:r>
              <a:endParaRPr lang="en-US" sz="1600">
                <a:solidFill>
                  <a:srgbClr val="FFC000"/>
                </a:solidFill>
              </a:endParaRPr>
            </a:p>
          </xdr:txBody>
        </xdr:sp>
        <xdr:pic>
          <xdr:nvPicPr>
            <xdr:cNvPr id="33" name="Picture 32">
              <a:extLst>
                <a:ext uri="{FF2B5EF4-FFF2-40B4-BE49-F238E27FC236}">
                  <a16:creationId xmlns:a16="http://schemas.microsoft.com/office/drawing/2014/main" id="{39018506-1554-40B4-8BC0-FC78D5DDF74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896560" y="1693031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19</xdr:col>
      <xdr:colOff>471016</xdr:colOff>
      <xdr:row>3</xdr:row>
      <xdr:rowOff>0</xdr:rowOff>
    </xdr:from>
    <xdr:to>
      <xdr:col>20</xdr:col>
      <xdr:colOff>756766</xdr:colOff>
      <xdr:row>4</xdr:row>
      <xdr:rowOff>112015</xdr:rowOff>
    </xdr:to>
    <xdr:grpSp>
      <xdr:nvGrpSpPr>
        <xdr:cNvPr id="18" name="AddNewStudent">
          <a:extLst>
            <a:ext uri="{FF2B5EF4-FFF2-40B4-BE49-F238E27FC236}">
              <a16:creationId xmlns:a16="http://schemas.microsoft.com/office/drawing/2014/main" id="{5FB1AD9C-4EA4-475D-9A72-88B873C4DD8C}"/>
            </a:ext>
          </a:extLst>
        </xdr:cNvPr>
        <xdr:cNvGrpSpPr/>
      </xdr:nvGrpSpPr>
      <xdr:grpSpPr>
        <a:xfrm>
          <a:off x="20526433" y="1344083"/>
          <a:ext cx="1534583" cy="355432"/>
          <a:chOff x="22388984" y="1329313"/>
          <a:chExt cx="1531326" cy="363224"/>
        </a:xfrm>
      </xdr:grpSpPr>
      <xdr:sp macro="" textlink="">
        <xdr:nvSpPr>
          <xdr:cNvPr id="34" name="MenuItem1">
            <a:extLst>
              <a:ext uri="{FF2B5EF4-FFF2-40B4-BE49-F238E27FC236}">
                <a16:creationId xmlns:a16="http://schemas.microsoft.com/office/drawing/2014/main" id="{F66AA3E3-86CF-42CD-82E6-2B59EB5AD89D}"/>
              </a:ext>
            </a:extLst>
          </xdr:cNvPr>
          <xdr:cNvSpPr/>
        </xdr:nvSpPr>
        <xdr:spPr>
          <a:xfrm>
            <a:off x="22388984" y="1329313"/>
            <a:ext cx="1531326" cy="363224"/>
          </a:xfrm>
          <a:prstGeom prst="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>
                <a:solidFill>
                  <a:srgbClr val="FFC000"/>
                </a:solidFill>
              </a:rPr>
              <a:t>      Add New Student</a:t>
            </a:r>
            <a:endParaRPr lang="en-US" sz="1600">
              <a:solidFill>
                <a:srgbClr val="FFC000"/>
              </a:solidFill>
            </a:endParaRPr>
          </a:p>
        </xdr:txBody>
      </xdr:sp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452CB965-B35C-44FA-BE7F-4ACA7EF9DF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469029" y="1416800"/>
            <a:ext cx="169940" cy="195123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340806</xdr:colOff>
      <xdr:row>3</xdr:row>
      <xdr:rowOff>5862</xdr:rowOff>
    </xdr:from>
    <xdr:to>
      <xdr:col>31</xdr:col>
      <xdr:colOff>460550</xdr:colOff>
      <xdr:row>4</xdr:row>
      <xdr:rowOff>20934</xdr:rowOff>
    </xdr:to>
    <xdr:grpSp>
      <xdr:nvGrpSpPr>
        <xdr:cNvPr id="38" name="AddNewItem">
          <a:extLst>
            <a:ext uri="{FF2B5EF4-FFF2-40B4-BE49-F238E27FC236}">
              <a16:creationId xmlns:a16="http://schemas.microsoft.com/office/drawing/2014/main" id="{92007BFC-6EC9-4F41-8784-A8FF7FDA8C5B}"/>
            </a:ext>
          </a:extLst>
        </xdr:cNvPr>
        <xdr:cNvGrpSpPr/>
      </xdr:nvGrpSpPr>
      <xdr:grpSpPr>
        <a:xfrm>
          <a:off x="28460723" y="1349945"/>
          <a:ext cx="1484994" cy="258489"/>
          <a:chOff x="22388984" y="1329313"/>
          <a:chExt cx="1531326" cy="363224"/>
        </a:xfrm>
      </xdr:grpSpPr>
      <xdr:sp macro="" textlink="">
        <xdr:nvSpPr>
          <xdr:cNvPr id="40" name="MenuItem1">
            <a:extLst>
              <a:ext uri="{FF2B5EF4-FFF2-40B4-BE49-F238E27FC236}">
                <a16:creationId xmlns:a16="http://schemas.microsoft.com/office/drawing/2014/main" id="{CCF23D5C-BD5A-4676-BFAA-64AF2194D5F5}"/>
              </a:ext>
            </a:extLst>
          </xdr:cNvPr>
          <xdr:cNvSpPr/>
        </xdr:nvSpPr>
        <xdr:spPr>
          <a:xfrm>
            <a:off x="22388984" y="1329313"/>
            <a:ext cx="1531326" cy="363224"/>
          </a:xfrm>
          <a:prstGeom prst="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>
                <a:solidFill>
                  <a:srgbClr val="FFC000"/>
                </a:solidFill>
              </a:rPr>
              <a:t>   Add New Item</a:t>
            </a:r>
            <a:endParaRPr lang="en-US" sz="1600">
              <a:solidFill>
                <a:srgbClr val="FFC000"/>
              </a:solidFill>
            </a:endParaRPr>
          </a:p>
        </xdr:txBody>
      </xdr:sp>
      <xdr:pic>
        <xdr:nvPicPr>
          <xdr:cNvPr id="42" name="Picture 41">
            <a:extLst>
              <a:ext uri="{FF2B5EF4-FFF2-40B4-BE49-F238E27FC236}">
                <a16:creationId xmlns:a16="http://schemas.microsoft.com/office/drawing/2014/main" id="{B5A9F4F4-F8C6-47F8-B9E9-8B2CF36825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469028" y="1406333"/>
            <a:ext cx="183643" cy="210856"/>
          </a:xfrm>
          <a:prstGeom prst="rect">
            <a:avLst/>
          </a:prstGeom>
        </xdr:spPr>
      </xdr:pic>
    </xdr:grpSp>
    <xdr:clientData/>
  </xdr:twoCellAnchor>
  <xdr:twoCellAnchor>
    <xdr:from>
      <xdr:col>36</xdr:col>
      <xdr:colOff>419937</xdr:colOff>
      <xdr:row>3</xdr:row>
      <xdr:rowOff>11724</xdr:rowOff>
    </xdr:from>
    <xdr:to>
      <xdr:col>37</xdr:col>
      <xdr:colOff>707153</xdr:colOff>
      <xdr:row>4</xdr:row>
      <xdr:rowOff>26796</xdr:rowOff>
    </xdr:to>
    <xdr:grpSp>
      <xdr:nvGrpSpPr>
        <xdr:cNvPr id="54" name="AddNewSupplier">
          <a:extLst>
            <a:ext uri="{FF2B5EF4-FFF2-40B4-BE49-F238E27FC236}">
              <a16:creationId xmlns:a16="http://schemas.microsoft.com/office/drawing/2014/main" id="{7F832522-320C-4F28-8F2A-00E2F2C41DF7}"/>
            </a:ext>
          </a:extLst>
        </xdr:cNvPr>
        <xdr:cNvGrpSpPr/>
      </xdr:nvGrpSpPr>
      <xdr:grpSpPr>
        <a:xfrm>
          <a:off x="34392437" y="1355807"/>
          <a:ext cx="1483133" cy="258489"/>
          <a:chOff x="22388984" y="1329313"/>
          <a:chExt cx="1531326" cy="363224"/>
        </a:xfrm>
      </xdr:grpSpPr>
      <xdr:sp macro="" textlink="">
        <xdr:nvSpPr>
          <xdr:cNvPr id="55" name="MenuItem1">
            <a:extLst>
              <a:ext uri="{FF2B5EF4-FFF2-40B4-BE49-F238E27FC236}">
                <a16:creationId xmlns:a16="http://schemas.microsoft.com/office/drawing/2014/main" id="{7E794408-8240-462E-8546-D3A80D06F7B9}"/>
              </a:ext>
            </a:extLst>
          </xdr:cNvPr>
          <xdr:cNvSpPr/>
        </xdr:nvSpPr>
        <xdr:spPr>
          <a:xfrm>
            <a:off x="22388984" y="1329313"/>
            <a:ext cx="1531326" cy="363224"/>
          </a:xfrm>
          <a:prstGeom prst="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>
                <a:solidFill>
                  <a:srgbClr val="FFC000"/>
                </a:solidFill>
              </a:rPr>
              <a:t>     Add New Supplier</a:t>
            </a:r>
            <a:endParaRPr lang="en-US" sz="1600">
              <a:solidFill>
                <a:srgbClr val="FFC000"/>
              </a:solidFill>
            </a:endParaRPr>
          </a:p>
        </xdr:txBody>
      </xdr:sp>
      <xdr:pic>
        <xdr:nvPicPr>
          <xdr:cNvPr id="56" name="Picture 55">
            <a:extLst>
              <a:ext uri="{FF2B5EF4-FFF2-40B4-BE49-F238E27FC236}">
                <a16:creationId xmlns:a16="http://schemas.microsoft.com/office/drawing/2014/main" id="{EF4ED982-56A0-41D7-9BFB-3B978E8AA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426025" y="1406333"/>
            <a:ext cx="183643" cy="210855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Inventory_Management_Syste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"/>
      <sheetName val="Inventory Management"/>
      <sheetName val="Dashboard Data"/>
      <sheetName val="Customers"/>
      <sheetName val="Suppliers"/>
      <sheetName val="Products"/>
      <sheetName val="Orders"/>
      <sheetName val="Order Item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DoloresRichman@ictuniversity.edu.cm" TargetMode="External"/><Relationship Id="rId1" Type="http://schemas.openxmlformats.org/officeDocument/2006/relationships/hyperlink" Target="mailto:BettyWhite@ictuniversity.edu.cm" TargetMode="External"/><Relationship Id="rId5" Type="http://schemas.openxmlformats.org/officeDocument/2006/relationships/image" Target="../media/image1.jpeg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SandyBeach@ictuniversity.edu.cm" TargetMode="External"/><Relationship Id="rId13" Type="http://schemas.openxmlformats.org/officeDocument/2006/relationships/hyperlink" Target="mailto:DoloresRichman@ictuniversity.edu.cm" TargetMode="External"/><Relationship Id="rId18" Type="http://schemas.openxmlformats.org/officeDocument/2006/relationships/hyperlink" Target="mailto:NancySmith@ictuniversity.edu.cm" TargetMode="External"/><Relationship Id="rId3" Type="http://schemas.openxmlformats.org/officeDocument/2006/relationships/hyperlink" Target="mailto:JackieTubman@ictuniversity.edu.cm" TargetMode="External"/><Relationship Id="rId21" Type="http://schemas.openxmlformats.org/officeDocument/2006/relationships/hyperlink" Target="mailto:Frank@ictuniversity.edu.cm" TargetMode="External"/><Relationship Id="rId7" Type="http://schemas.openxmlformats.org/officeDocument/2006/relationships/hyperlink" Target="mailto:NancySmith@ictuniversity.edu.cm" TargetMode="External"/><Relationship Id="rId12" Type="http://schemas.openxmlformats.org/officeDocument/2006/relationships/hyperlink" Target="mailto:BettyWhite@ictuniversity.edu.cm" TargetMode="External"/><Relationship Id="rId17" Type="http://schemas.openxmlformats.org/officeDocument/2006/relationships/hyperlink" Target="mailto:MaryBadger@ictuniversity.edu.cm" TargetMode="External"/><Relationship Id="rId2" Type="http://schemas.openxmlformats.org/officeDocument/2006/relationships/hyperlink" Target="mailto:DoloresRichman@ictuniversity.edu.cm" TargetMode="External"/><Relationship Id="rId16" Type="http://schemas.openxmlformats.org/officeDocument/2006/relationships/hyperlink" Target="mailto:LisiaPerkins@ictuniversity.edu.cm" TargetMode="External"/><Relationship Id="rId20" Type="http://schemas.openxmlformats.org/officeDocument/2006/relationships/hyperlink" Target="mailto:Fred@ictuniversity.edu.cm" TargetMode="External"/><Relationship Id="rId1" Type="http://schemas.openxmlformats.org/officeDocument/2006/relationships/hyperlink" Target="mailto:BettyWhite@ictuniversity.edu.cm" TargetMode="External"/><Relationship Id="rId6" Type="http://schemas.openxmlformats.org/officeDocument/2006/relationships/hyperlink" Target="mailto:MaryBadger@ictuniversity.edu.cm" TargetMode="External"/><Relationship Id="rId11" Type="http://schemas.openxmlformats.org/officeDocument/2006/relationships/hyperlink" Target="mailto:Test@ictuniversity.edu.cm" TargetMode="External"/><Relationship Id="rId5" Type="http://schemas.openxmlformats.org/officeDocument/2006/relationships/hyperlink" Target="mailto:LisiaPerkins@ictuniversity.edu.cm" TargetMode="External"/><Relationship Id="rId15" Type="http://schemas.openxmlformats.org/officeDocument/2006/relationships/hyperlink" Target="mailto:John_James@ictuniversity.edu.cm" TargetMode="External"/><Relationship Id="rId10" Type="http://schemas.openxmlformats.org/officeDocument/2006/relationships/hyperlink" Target="mailto:Frank@ictuniversity.edu.cm" TargetMode="External"/><Relationship Id="rId19" Type="http://schemas.openxmlformats.org/officeDocument/2006/relationships/hyperlink" Target="mailto:SandyBeach@ictuniversity.edu.cm" TargetMode="External"/><Relationship Id="rId4" Type="http://schemas.openxmlformats.org/officeDocument/2006/relationships/hyperlink" Target="mailto:John_James@ictuniversity.edu.cm" TargetMode="External"/><Relationship Id="rId9" Type="http://schemas.openxmlformats.org/officeDocument/2006/relationships/hyperlink" Target="mailto:Fred@ictuniversity.edu.cm" TargetMode="External"/><Relationship Id="rId14" Type="http://schemas.openxmlformats.org/officeDocument/2006/relationships/hyperlink" Target="mailto:JackieTubman@ictuniversity.edu.cm" TargetMode="External"/><Relationship Id="rId22" Type="http://schemas.openxmlformats.org/officeDocument/2006/relationships/hyperlink" Target="mailto:Test@ictuniversity.edu.c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6F5BE-D417-4ECA-B550-2855D7A47D89}">
  <sheetPr codeName="InvMgr"/>
  <dimension ref="A1:AL119"/>
  <sheetViews>
    <sheetView showGridLines="0" tabSelected="1" topLeftCell="C1" zoomScale="90" zoomScaleNormal="90" workbookViewId="0">
      <selection activeCell="J3" sqref="J3"/>
    </sheetView>
  </sheetViews>
  <sheetFormatPr defaultRowHeight="15" x14ac:dyDescent="0.25"/>
  <cols>
    <col min="1" max="1" width="19.5703125" hidden="1" customWidth="1"/>
    <col min="2" max="2" width="0.28515625" hidden="1" customWidth="1"/>
    <col min="4" max="4" width="29" customWidth="1"/>
    <col min="5" max="5" width="37.28515625" customWidth="1"/>
    <col min="6" max="6" width="15.140625" customWidth="1"/>
    <col min="7" max="7" width="10.140625" customWidth="1"/>
    <col min="8" max="8" width="18.42578125" customWidth="1"/>
    <col min="9" max="9" width="7.140625" customWidth="1"/>
    <col min="10" max="10" width="13.85546875" customWidth="1"/>
    <col min="15" max="15" width="25.85546875" customWidth="1"/>
    <col min="16" max="16" width="14.7109375" customWidth="1"/>
    <col min="17" max="17" width="25.28515625" customWidth="1"/>
    <col min="18" max="18" width="39.7109375" customWidth="1"/>
    <col min="19" max="19" width="18.28515625" customWidth="1"/>
    <col min="20" max="20" width="18.7109375" customWidth="1"/>
    <col min="21" max="21" width="15.85546875" customWidth="1"/>
    <col min="27" max="27" width="8.140625" customWidth="1"/>
    <col min="28" max="28" width="15.140625" customWidth="1"/>
    <col min="29" max="29" width="17.140625" customWidth="1"/>
    <col min="30" max="30" width="11.85546875" customWidth="1"/>
    <col min="31" max="31" width="8.5703125" customWidth="1"/>
    <col min="32" max="32" width="8.42578125" customWidth="1"/>
    <col min="35" max="35" width="16.42578125" customWidth="1"/>
    <col min="36" max="36" width="24" customWidth="1"/>
    <col min="37" max="37" width="18" customWidth="1"/>
    <col min="38" max="38" width="12.140625" customWidth="1"/>
  </cols>
  <sheetData>
    <row r="1" spans="1:38" ht="41.25" customHeight="1" x14ac:dyDescent="0.25">
      <c r="A1" s="1"/>
      <c r="B1" s="1"/>
    </row>
    <row r="2" spans="1:38" ht="48" customHeight="1" x14ac:dyDescent="0.25">
      <c r="A2" s="2" t="s">
        <v>8</v>
      </c>
      <c r="B2" s="3" t="s">
        <v>109</v>
      </c>
    </row>
    <row r="3" spans="1:38" ht="15.75" thickBot="1" x14ac:dyDescent="0.3">
      <c r="A3" s="4" t="s">
        <v>0</v>
      </c>
      <c r="B3" s="5" t="b">
        <v>1</v>
      </c>
    </row>
    <row r="4" spans="1:38" ht="19.5" customHeight="1" x14ac:dyDescent="0.25">
      <c r="A4" s="4" t="s">
        <v>1</v>
      </c>
      <c r="B4" s="5">
        <v>1</v>
      </c>
      <c r="D4" s="27" t="str">
        <f>IF(B2="STUDENTS"," Student Order #","Student Order #")&amp;B4</f>
        <v xml:space="preserve"> Student Order #1</v>
      </c>
      <c r="E4" s="17" t="str">
        <f>IF(B2="STUDENTS","STUDENT ORDER","STUDENT ORDER")</f>
        <v>STUDENT ORDER</v>
      </c>
      <c r="F4" s="9"/>
      <c r="G4" s="12" t="s">
        <v>13</v>
      </c>
      <c r="H4" s="22"/>
      <c r="J4" s="21" t="s">
        <v>20</v>
      </c>
      <c r="K4" s="15">
        <v>2</v>
      </c>
      <c r="P4" s="53"/>
      <c r="Q4" s="57" t="s">
        <v>105</v>
      </c>
      <c r="R4" s="56"/>
      <c r="S4" s="9"/>
      <c r="T4" s="9"/>
      <c r="U4" s="54"/>
      <c r="AA4" s="53"/>
      <c r="AB4" s="57" t="s">
        <v>107</v>
      </c>
      <c r="AC4" s="56"/>
      <c r="AD4" s="9"/>
      <c r="AE4" s="9"/>
      <c r="AF4" s="54"/>
      <c r="AI4" s="57" t="s">
        <v>108</v>
      </c>
      <c r="AJ4" s="56"/>
      <c r="AK4" s="9"/>
      <c r="AL4" s="54"/>
    </row>
    <row r="5" spans="1:38" x14ac:dyDescent="0.25">
      <c r="A5" s="4" t="s">
        <v>3</v>
      </c>
      <c r="B5" s="5">
        <f ca="1">IFERROR(MATCH(B4,Order_ID,0)+3,"")</f>
        <v>4</v>
      </c>
      <c r="D5" s="14" t="str">
        <f>IF(B2="STUDENTS","Student","Supplier")</f>
        <v>Student</v>
      </c>
      <c r="E5" s="15" t="s">
        <v>68</v>
      </c>
      <c r="F5" s="11"/>
      <c r="G5" s="13" t="s">
        <v>71</v>
      </c>
      <c r="H5" s="23"/>
      <c r="P5" s="10"/>
      <c r="Q5" s="11"/>
      <c r="R5" s="11"/>
      <c r="S5" s="11"/>
      <c r="T5" s="11"/>
      <c r="U5" s="55"/>
      <c r="AA5" s="10"/>
      <c r="AB5" s="11"/>
      <c r="AC5" s="11"/>
      <c r="AD5" s="11"/>
      <c r="AE5" s="11"/>
      <c r="AF5" s="55"/>
      <c r="AI5" s="10"/>
      <c r="AJ5" s="11"/>
      <c r="AK5" s="11"/>
      <c r="AL5" s="55"/>
    </row>
    <row r="6" spans="1:38" ht="21" customHeight="1" x14ac:dyDescent="0.25">
      <c r="A6" s="4" t="s">
        <v>2</v>
      </c>
      <c r="B6" s="5">
        <f ca="1">IFERROR(MAX(Order_ID)+1,1)</f>
        <v>39</v>
      </c>
      <c r="D6" s="10"/>
      <c r="E6" s="16"/>
      <c r="F6" s="11"/>
      <c r="G6" s="13" t="s">
        <v>14</v>
      </c>
      <c r="H6" s="24"/>
      <c r="P6" s="84" t="s">
        <v>22</v>
      </c>
      <c r="Q6" s="85"/>
      <c r="R6" s="85"/>
      <c r="S6" s="85"/>
      <c r="T6" s="85"/>
      <c r="U6" s="86"/>
      <c r="X6" s="11"/>
      <c r="AA6" s="84" t="s">
        <v>74</v>
      </c>
      <c r="AB6" s="85"/>
      <c r="AC6" s="85"/>
      <c r="AD6" s="85"/>
      <c r="AE6" s="85"/>
      <c r="AF6" s="86"/>
      <c r="AI6" s="84" t="s">
        <v>90</v>
      </c>
      <c r="AJ6" s="85"/>
      <c r="AK6" s="85"/>
      <c r="AL6" s="86"/>
    </row>
    <row r="7" spans="1:38" ht="15" customHeight="1" x14ac:dyDescent="0.25">
      <c r="A7" s="4" t="s">
        <v>4</v>
      </c>
      <c r="B7" s="5"/>
      <c r="D7" s="10" t="s">
        <v>12</v>
      </c>
      <c r="E7" s="19"/>
      <c r="F7" s="11"/>
      <c r="G7" s="13" t="s">
        <v>72</v>
      </c>
      <c r="H7" s="25"/>
      <c r="P7" s="87"/>
      <c r="Q7" s="88"/>
      <c r="R7" s="88"/>
      <c r="S7" s="88"/>
      <c r="T7" s="88"/>
      <c r="U7" s="89"/>
      <c r="AA7" s="87"/>
      <c r="AB7" s="88"/>
      <c r="AC7" s="88"/>
      <c r="AD7" s="88"/>
      <c r="AE7" s="88"/>
      <c r="AF7" s="89"/>
      <c r="AI7" s="87"/>
      <c r="AJ7" s="88"/>
      <c r="AK7" s="88"/>
      <c r="AL7" s="89"/>
    </row>
    <row r="8" spans="1:38" x14ac:dyDescent="0.25">
      <c r="A8" s="4" t="s">
        <v>5</v>
      </c>
      <c r="B8" s="5">
        <f ca="1">IFERROR(MATCH(K4,Order_ID,0)+3,"")</f>
        <v>5</v>
      </c>
      <c r="D8" s="20" t="s">
        <v>15</v>
      </c>
      <c r="E8" s="20" t="str">
        <f>IF(B2="STUDENTS","Student's Matricule","Student's Matricule")</f>
        <v>Student's Matricule</v>
      </c>
      <c r="F8" s="20" t="s">
        <v>17</v>
      </c>
      <c r="G8" s="20" t="s">
        <v>18</v>
      </c>
      <c r="H8" s="20" t="s">
        <v>19</v>
      </c>
      <c r="P8" s="77" t="s">
        <v>23</v>
      </c>
      <c r="Q8" s="78" t="s">
        <v>106</v>
      </c>
      <c r="R8" s="78" t="s">
        <v>25</v>
      </c>
      <c r="S8" s="78" t="s">
        <v>16</v>
      </c>
      <c r="T8" s="78" t="s">
        <v>26</v>
      </c>
      <c r="U8" s="79" t="s">
        <v>61</v>
      </c>
      <c r="AA8" s="64" t="s">
        <v>77</v>
      </c>
      <c r="AB8" s="64" t="s">
        <v>78</v>
      </c>
      <c r="AC8" s="64" t="s">
        <v>79</v>
      </c>
      <c r="AD8" s="64" t="s">
        <v>80</v>
      </c>
      <c r="AE8" s="64" t="s">
        <v>81</v>
      </c>
      <c r="AF8" s="64" t="s">
        <v>61</v>
      </c>
      <c r="AI8" s="52" t="s">
        <v>91</v>
      </c>
      <c r="AJ8" s="52" t="s">
        <v>92</v>
      </c>
      <c r="AK8" s="52" t="s">
        <v>80</v>
      </c>
      <c r="AL8" s="52" t="s">
        <v>61</v>
      </c>
    </row>
    <row r="9" spans="1:38" x14ac:dyDescent="0.25">
      <c r="A9" s="4" t="s">
        <v>9</v>
      </c>
      <c r="B9" s="5"/>
      <c r="P9" s="80">
        <v>1</v>
      </c>
      <c r="Q9" s="70" t="s">
        <v>27</v>
      </c>
      <c r="R9" s="81" t="s">
        <v>48</v>
      </c>
      <c r="S9" s="70" t="s">
        <v>38</v>
      </c>
      <c r="T9" s="70">
        <v>3286147299</v>
      </c>
      <c r="U9" s="70">
        <f>ROW()</f>
        <v>9</v>
      </c>
      <c r="AA9" s="71">
        <v>1</v>
      </c>
      <c r="AB9" s="72" t="s">
        <v>82</v>
      </c>
      <c r="AC9" s="73">
        <v>10</v>
      </c>
      <c r="AD9" s="72" t="s">
        <v>68</v>
      </c>
      <c r="AE9" s="74">
        <v>10</v>
      </c>
      <c r="AF9" s="75">
        <f>ROW()</f>
        <v>9</v>
      </c>
      <c r="AI9" s="70">
        <v>1</v>
      </c>
      <c r="AJ9" s="70" t="s">
        <v>68</v>
      </c>
      <c r="AK9" s="70" t="s">
        <v>93</v>
      </c>
      <c r="AL9" s="70">
        <f>ROW()</f>
        <v>9</v>
      </c>
    </row>
    <row r="10" spans="1:38" x14ac:dyDescent="0.25">
      <c r="A10" s="6" t="s">
        <v>10</v>
      </c>
      <c r="B10" s="7"/>
      <c r="P10" s="80">
        <v>2</v>
      </c>
      <c r="Q10" s="70" t="s">
        <v>28</v>
      </c>
      <c r="R10" s="81" t="s">
        <v>49</v>
      </c>
      <c r="S10" s="70" t="s">
        <v>39</v>
      </c>
      <c r="T10" s="70">
        <v>3455894869</v>
      </c>
      <c r="U10" s="70">
        <f>ROW()</f>
        <v>10</v>
      </c>
      <c r="AA10" s="71">
        <v>2</v>
      </c>
      <c r="AB10" s="76" t="s">
        <v>83</v>
      </c>
      <c r="AC10" s="72">
        <v>20</v>
      </c>
      <c r="AD10" s="72" t="s">
        <v>68</v>
      </c>
      <c r="AE10" s="74">
        <v>20</v>
      </c>
      <c r="AF10" s="75">
        <f>ROW()</f>
        <v>10</v>
      </c>
      <c r="AI10" s="70">
        <v>2</v>
      </c>
      <c r="AJ10" s="70" t="s">
        <v>69</v>
      </c>
      <c r="AK10" s="70" t="s">
        <v>94</v>
      </c>
      <c r="AL10" s="70">
        <f>ROW()</f>
        <v>10</v>
      </c>
    </row>
    <row r="11" spans="1:38" x14ac:dyDescent="0.25">
      <c r="A11" s="6" t="s">
        <v>11</v>
      </c>
      <c r="B11" s="7">
        <f ca="1">IFERROR(MAX(Student_ID)+1,1)</f>
        <v>12</v>
      </c>
      <c r="P11" s="82"/>
      <c r="Q11" s="11"/>
      <c r="R11" s="83"/>
      <c r="S11" s="11"/>
      <c r="T11" s="11"/>
      <c r="U11" s="11"/>
      <c r="AA11" s="65"/>
      <c r="AB11" s="67"/>
      <c r="AC11" s="50"/>
      <c r="AD11" s="50"/>
      <c r="AE11" s="66"/>
      <c r="AF11" s="26"/>
    </row>
    <row r="12" spans="1:38" x14ac:dyDescent="0.25">
      <c r="A12" s="6" t="s">
        <v>6</v>
      </c>
      <c r="B12" s="7"/>
      <c r="D12" s="26"/>
      <c r="P12" s="82"/>
      <c r="Q12" s="11"/>
      <c r="R12" s="83"/>
      <c r="S12" s="11"/>
      <c r="T12" s="11"/>
      <c r="U12" s="11"/>
      <c r="AA12" s="65"/>
      <c r="AB12" s="68"/>
      <c r="AC12" s="50"/>
      <c r="AD12" s="50"/>
      <c r="AE12" s="66"/>
      <c r="AF12" s="26"/>
    </row>
    <row r="13" spans="1:38" x14ac:dyDescent="0.25">
      <c r="A13" s="6" t="s">
        <v>7</v>
      </c>
      <c r="B13" s="7">
        <f ca="1">IFERROR(MAX(Supp_ID)+1,1)</f>
        <v>3</v>
      </c>
      <c r="P13" s="82"/>
      <c r="Q13" s="11"/>
      <c r="R13" s="83"/>
      <c r="S13" s="11"/>
      <c r="T13" s="11"/>
      <c r="U13" s="11"/>
      <c r="AA13" s="65"/>
      <c r="AB13" s="68"/>
      <c r="AC13" s="50"/>
      <c r="AD13" s="50"/>
      <c r="AE13" s="66"/>
      <c r="AF13" s="26"/>
    </row>
    <row r="14" spans="1:38" x14ac:dyDescent="0.25">
      <c r="A14" s="6" t="s">
        <v>75</v>
      </c>
      <c r="B14" s="7"/>
      <c r="P14" s="82"/>
      <c r="Q14" s="11"/>
      <c r="R14" s="83"/>
      <c r="S14" s="11"/>
      <c r="T14" s="11"/>
      <c r="U14" s="11"/>
      <c r="AA14" s="65"/>
      <c r="AB14" s="50"/>
      <c r="AC14" s="50"/>
      <c r="AD14" s="50"/>
      <c r="AE14" s="69"/>
      <c r="AF14" s="26"/>
    </row>
    <row r="15" spans="1:38" x14ac:dyDescent="0.25">
      <c r="A15" s="8" t="s">
        <v>76</v>
      </c>
      <c r="B15" s="7">
        <f ca="1">IFERROR(MAX(Item._ID)+1,1)</f>
        <v>9</v>
      </c>
      <c r="P15" s="82"/>
      <c r="Q15" s="11"/>
      <c r="R15" s="83"/>
      <c r="S15" s="11"/>
      <c r="T15" s="11"/>
      <c r="U15" s="11"/>
      <c r="AA15" s="65"/>
      <c r="AB15" s="26"/>
      <c r="AC15" s="50"/>
      <c r="AD15" s="50"/>
      <c r="AE15" s="26"/>
      <c r="AF15" s="26"/>
    </row>
    <row r="16" spans="1:38" x14ac:dyDescent="0.25">
      <c r="A16" s="1"/>
      <c r="B16" s="1"/>
      <c r="P16" s="82"/>
      <c r="Q16" s="11"/>
      <c r="R16" s="83"/>
      <c r="S16" s="11"/>
      <c r="T16" s="11"/>
      <c r="U16" s="11"/>
      <c r="AA16" s="65"/>
      <c r="AB16" s="26"/>
      <c r="AC16" s="50"/>
      <c r="AD16" s="50"/>
      <c r="AE16" s="26"/>
      <c r="AF16" s="26"/>
    </row>
    <row r="17" spans="1:18" x14ac:dyDescent="0.25">
      <c r="A17" s="1"/>
      <c r="B17" s="1"/>
      <c r="P17" s="18"/>
      <c r="R17" s="30"/>
    </row>
    <row r="18" spans="1:18" x14ac:dyDescent="0.25">
      <c r="A18" s="1"/>
      <c r="B18" s="1"/>
    </row>
    <row r="19" spans="1:18" x14ac:dyDescent="0.25">
      <c r="A19" s="1"/>
      <c r="B19" s="1"/>
    </row>
    <row r="20" spans="1:18" x14ac:dyDescent="0.25">
      <c r="A20" s="1"/>
      <c r="B20" s="1"/>
    </row>
    <row r="21" spans="1:18" x14ac:dyDescent="0.25">
      <c r="A21" s="1"/>
      <c r="B21" s="1"/>
    </row>
    <row r="22" spans="1:18" x14ac:dyDescent="0.25">
      <c r="A22" s="1"/>
      <c r="B22" s="1"/>
    </row>
    <row r="23" spans="1:18" x14ac:dyDescent="0.25">
      <c r="A23" s="1"/>
      <c r="B23" s="1"/>
    </row>
    <row r="24" spans="1:18" x14ac:dyDescent="0.25">
      <c r="A24" s="1"/>
      <c r="B24" s="1"/>
    </row>
    <row r="25" spans="1:18" x14ac:dyDescent="0.25">
      <c r="A25" s="1"/>
      <c r="B25" s="1"/>
    </row>
    <row r="26" spans="1:18" x14ac:dyDescent="0.25">
      <c r="A26" s="1"/>
      <c r="B26" s="1"/>
    </row>
    <row r="27" spans="1:18" x14ac:dyDescent="0.25">
      <c r="A27" s="1"/>
      <c r="B27" s="1"/>
    </row>
    <row r="28" spans="1:18" x14ac:dyDescent="0.25">
      <c r="A28" s="1"/>
      <c r="B28" s="1"/>
    </row>
    <row r="29" spans="1:18" x14ac:dyDescent="0.25">
      <c r="A29" s="1"/>
      <c r="B29" s="1"/>
    </row>
    <row r="30" spans="1:18" x14ac:dyDescent="0.25">
      <c r="A30" s="1"/>
      <c r="B30" s="1"/>
    </row>
    <row r="31" spans="1:18" x14ac:dyDescent="0.25">
      <c r="A31" s="1"/>
      <c r="B31" s="1"/>
    </row>
    <row r="32" spans="1:18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  <row r="44" spans="1:2" x14ac:dyDescent="0.25">
      <c r="A44" s="1"/>
      <c r="B44" s="1"/>
    </row>
    <row r="45" spans="1:2" x14ac:dyDescent="0.25">
      <c r="A45" s="1"/>
      <c r="B45" s="1"/>
    </row>
    <row r="46" spans="1:2" x14ac:dyDescent="0.25">
      <c r="A46" s="1"/>
      <c r="B46" s="1"/>
    </row>
    <row r="47" spans="1:2" x14ac:dyDescent="0.25">
      <c r="A47" s="1"/>
      <c r="B47" s="1"/>
    </row>
    <row r="48" spans="1:2" x14ac:dyDescent="0.25">
      <c r="A48" s="1"/>
      <c r="B48" s="1"/>
    </row>
    <row r="49" spans="1:2" x14ac:dyDescent="0.25">
      <c r="A49" s="1"/>
      <c r="B49" s="1"/>
    </row>
    <row r="50" spans="1:2" x14ac:dyDescent="0.25">
      <c r="A50" s="1"/>
      <c r="B50" s="1"/>
    </row>
    <row r="51" spans="1:2" x14ac:dyDescent="0.25">
      <c r="A51" s="1"/>
      <c r="B51" s="1"/>
    </row>
    <row r="52" spans="1:2" x14ac:dyDescent="0.25">
      <c r="A52" s="1"/>
      <c r="B52" s="1"/>
    </row>
    <row r="53" spans="1:2" x14ac:dyDescent="0.25">
      <c r="A53" s="1"/>
      <c r="B53" s="1"/>
    </row>
    <row r="54" spans="1:2" x14ac:dyDescent="0.25">
      <c r="A54" s="1"/>
      <c r="B54" s="1"/>
    </row>
    <row r="55" spans="1:2" x14ac:dyDescent="0.25">
      <c r="A55" s="1"/>
      <c r="B55" s="1"/>
    </row>
    <row r="56" spans="1:2" x14ac:dyDescent="0.25">
      <c r="A56" s="1"/>
      <c r="B56" s="1"/>
    </row>
    <row r="57" spans="1:2" x14ac:dyDescent="0.25">
      <c r="A57" s="1"/>
      <c r="B57" s="1"/>
    </row>
    <row r="58" spans="1:2" x14ac:dyDescent="0.25">
      <c r="A58" s="1"/>
      <c r="B58" s="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1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1"/>
      <c r="B65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1"/>
      <c r="B74" s="1"/>
    </row>
    <row r="75" spans="1:2" x14ac:dyDescent="0.25">
      <c r="A75" s="1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  <row r="79" spans="1:2" x14ac:dyDescent="0.25">
      <c r="A79" s="1"/>
      <c r="B79" s="1"/>
    </row>
    <row r="80" spans="1:2" x14ac:dyDescent="0.25">
      <c r="A80" s="1"/>
      <c r="B80" s="1"/>
    </row>
    <row r="81" spans="1:2" x14ac:dyDescent="0.25">
      <c r="A81" s="1"/>
      <c r="B81" s="1"/>
    </row>
    <row r="82" spans="1:2" x14ac:dyDescent="0.25">
      <c r="A82" s="1"/>
      <c r="B82" s="1"/>
    </row>
    <row r="83" spans="1:2" x14ac:dyDescent="0.25">
      <c r="A83" s="1"/>
      <c r="B83" s="1"/>
    </row>
    <row r="84" spans="1:2" x14ac:dyDescent="0.25">
      <c r="A84" s="1"/>
      <c r="B84" s="1"/>
    </row>
    <row r="85" spans="1:2" x14ac:dyDescent="0.25">
      <c r="A85" s="1"/>
      <c r="B85" s="1"/>
    </row>
    <row r="86" spans="1:2" x14ac:dyDescent="0.25">
      <c r="A86" s="1"/>
      <c r="B86" s="1"/>
    </row>
    <row r="87" spans="1:2" x14ac:dyDescent="0.25">
      <c r="A87" s="1"/>
      <c r="B87" s="1"/>
    </row>
    <row r="88" spans="1:2" x14ac:dyDescent="0.25">
      <c r="A88" s="1"/>
      <c r="B88" s="1"/>
    </row>
    <row r="89" spans="1:2" x14ac:dyDescent="0.25">
      <c r="A89" s="1"/>
      <c r="B89" s="1"/>
    </row>
    <row r="90" spans="1:2" x14ac:dyDescent="0.25">
      <c r="A90" s="1"/>
      <c r="B90" s="1"/>
    </row>
    <row r="91" spans="1:2" x14ac:dyDescent="0.25">
      <c r="A91" s="1"/>
      <c r="B91" s="1"/>
    </row>
    <row r="92" spans="1:2" x14ac:dyDescent="0.25">
      <c r="A92" s="1"/>
      <c r="B92" s="1"/>
    </row>
    <row r="93" spans="1:2" x14ac:dyDescent="0.25">
      <c r="A93" s="1"/>
      <c r="B93" s="1"/>
    </row>
    <row r="94" spans="1:2" x14ac:dyDescent="0.25">
      <c r="A94" s="1"/>
      <c r="B94" s="1"/>
    </row>
    <row r="95" spans="1:2" x14ac:dyDescent="0.25">
      <c r="A95" s="1"/>
      <c r="B95" s="1"/>
    </row>
    <row r="96" spans="1:2" x14ac:dyDescent="0.25">
      <c r="A96" s="1"/>
      <c r="B96" s="1"/>
    </row>
    <row r="97" spans="1:2" x14ac:dyDescent="0.25">
      <c r="A97" s="1"/>
      <c r="B97" s="1"/>
    </row>
    <row r="98" spans="1:2" x14ac:dyDescent="0.25">
      <c r="A98" s="1"/>
      <c r="B98" s="1"/>
    </row>
    <row r="99" spans="1:2" x14ac:dyDescent="0.25">
      <c r="A99" s="1"/>
      <c r="B99" s="1"/>
    </row>
    <row r="100" spans="1:2" x14ac:dyDescent="0.25">
      <c r="A100" s="1"/>
      <c r="B100" s="1"/>
    </row>
    <row r="101" spans="1:2" x14ac:dyDescent="0.25">
      <c r="A101" s="1"/>
      <c r="B101" s="1"/>
    </row>
    <row r="102" spans="1:2" x14ac:dyDescent="0.25">
      <c r="A102" s="1"/>
      <c r="B102" s="1"/>
    </row>
    <row r="103" spans="1:2" x14ac:dyDescent="0.25">
      <c r="A103" s="1"/>
      <c r="B103" s="1"/>
    </row>
    <row r="104" spans="1:2" x14ac:dyDescent="0.25">
      <c r="A104" s="1"/>
      <c r="B104" s="1"/>
    </row>
    <row r="105" spans="1:2" x14ac:dyDescent="0.25">
      <c r="A105" s="1"/>
      <c r="B105" s="1"/>
    </row>
    <row r="106" spans="1:2" x14ac:dyDescent="0.25">
      <c r="A106" s="1"/>
      <c r="B106" s="1"/>
    </row>
    <row r="107" spans="1:2" x14ac:dyDescent="0.25">
      <c r="A107" s="1"/>
      <c r="B107" s="1"/>
    </row>
    <row r="108" spans="1:2" x14ac:dyDescent="0.25">
      <c r="A108" s="1"/>
      <c r="B108" s="1"/>
    </row>
    <row r="109" spans="1:2" x14ac:dyDescent="0.25">
      <c r="A109" s="1"/>
      <c r="B109" s="1"/>
    </row>
    <row r="110" spans="1:2" x14ac:dyDescent="0.25">
      <c r="A110" s="1"/>
      <c r="B110" s="1"/>
    </row>
    <row r="111" spans="1:2" x14ac:dyDescent="0.25">
      <c r="A111" s="1"/>
      <c r="B111" s="1"/>
    </row>
    <row r="112" spans="1:2" x14ac:dyDescent="0.25">
      <c r="A112" s="1"/>
      <c r="B112" s="1"/>
    </row>
    <row r="113" spans="1:2" x14ac:dyDescent="0.25">
      <c r="A113" s="1"/>
      <c r="B113" s="1"/>
    </row>
    <row r="114" spans="1:2" x14ac:dyDescent="0.25">
      <c r="A114" s="1"/>
      <c r="B114" s="1"/>
    </row>
    <row r="115" spans="1:2" x14ac:dyDescent="0.25">
      <c r="A115" s="1"/>
      <c r="B115" s="1"/>
    </row>
    <row r="116" spans="1:2" x14ac:dyDescent="0.25">
      <c r="A116" s="1"/>
      <c r="B116" s="1"/>
    </row>
    <row r="117" spans="1:2" x14ac:dyDescent="0.25">
      <c r="A117" s="1"/>
      <c r="B117" s="1"/>
    </row>
    <row r="118" spans="1:2" x14ac:dyDescent="0.25">
      <c r="A118" s="1"/>
      <c r="B118" s="1"/>
    </row>
    <row r="119" spans="1:2" x14ac:dyDescent="0.25">
      <c r="A119" s="1"/>
      <c r="B119" s="1"/>
    </row>
  </sheetData>
  <mergeCells count="3">
    <mergeCell ref="P6:U7"/>
    <mergeCell ref="AA6:AF7"/>
    <mergeCell ref="AI6:AL7"/>
  </mergeCells>
  <conditionalFormatting sqref="D9:H108">
    <cfRule type="expression" dxfId="21" priority="22">
      <formula>$B$7=ROW()</formula>
    </cfRule>
    <cfRule type="expression" dxfId="20" priority="23">
      <formula>AND($D8&lt;&gt;"",MOD(ROW(),2)=1)</formula>
    </cfRule>
    <cfRule type="expression" dxfId="19" priority="24">
      <formula>AND($D8&lt;&gt;"",MOD(ROW(),2)=0)</formula>
    </cfRule>
  </conditionalFormatting>
  <conditionalFormatting sqref="P17">
    <cfRule type="expression" dxfId="18" priority="5">
      <formula>AND($A17&lt;&gt;"",MOD(ROW(),2)=0)</formula>
    </cfRule>
  </conditionalFormatting>
  <conditionalFormatting sqref="Q17">
    <cfRule type="expression" dxfId="17" priority="4">
      <formula>AND($A17&lt;&gt;"",MOD(ROW(),2)=0)</formula>
    </cfRule>
  </conditionalFormatting>
  <conditionalFormatting sqref="R17">
    <cfRule type="expression" dxfId="16" priority="3">
      <formula>AND($A17&lt;&gt;"",MOD(ROW(),2)=0)</formula>
    </cfRule>
  </conditionalFormatting>
  <conditionalFormatting sqref="S17">
    <cfRule type="expression" dxfId="15" priority="2">
      <formula>AND($A17&lt;&gt;"",MOD(ROW(),2)=0)</formula>
    </cfRule>
  </conditionalFormatting>
  <conditionalFormatting sqref="T17">
    <cfRule type="expression" dxfId="14" priority="1">
      <formula>AND($A17&lt;&gt;"",MOD(ROW(),2)=0)</formula>
    </cfRule>
  </conditionalFormatting>
  <dataValidations count="1">
    <dataValidation type="list" allowBlank="1" showInputMessage="1" showErrorMessage="1" sqref="AC9:AC14" xr:uid="{AF12B013-D4C4-464B-BDCF-BAC43B30EAE6}">
      <formula1>Categories</formula1>
    </dataValidation>
  </dataValidations>
  <hyperlinks>
    <hyperlink ref="R9" r:id="rId1" xr:uid="{721F8D25-E391-4B72-A5D8-B5E65520B0B4}"/>
    <hyperlink ref="R10" r:id="rId2" xr:uid="{B6D5F075-1807-4BC0-871B-3B7CE7296436}"/>
  </hyperlinks>
  <pageMargins left="0.7" right="0.7" top="0.75" bottom="0.75" header="0.3" footer="0.3"/>
  <pageSetup orientation="portrait" r:id="rId3"/>
  <drawing r:id="rId4"/>
  <picture r:id="rId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136886E-BBCB-42DF-AE48-FAEAB98C33FE}">
          <x14:formula1>
            <xm:f>OFFSET(Suppliers!$B$3,1,,COUNTA(Suppliers!$B$3:$B$103)-1,1)</xm:f>
          </x14:formula1>
          <xm:sqref>E5</xm:sqref>
        </x14:dataValidation>
        <x14:dataValidation type="list" allowBlank="1" showInputMessage="1" showErrorMessage="1" xr:uid="{DC2E6131-A3B5-4933-95AD-0C2573C2A022}">
          <x14:formula1>
            <xm:f>OFFSET('Students '!$B$3,1,,COUNTA('Students '!$B$3:$B$990)-1,1)</xm:f>
          </x14:formula1>
          <xm:sqref>D9:D108</xm:sqref>
        </x14:dataValidation>
        <x14:dataValidation type="list" allowBlank="1" showInputMessage="1" showErrorMessage="1" xr:uid="{41672FC4-26C6-4E16-867C-4843FC595481}">
          <x14:formula1>
            <xm:f>OFFSET('Items '!$B$3,1,,COUNTA('Items '!$B$3:$B$376)-1,1)</xm:f>
          </x14:formula1>
          <xm:sqref>F9:F108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C1981-9141-4FB8-8C93-DD62E627DCED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30FF6-A2B5-4BB4-B87A-5FBE4871A5F5}">
  <sheetPr codeName="Sheet3"/>
  <dimension ref="A1:T14"/>
  <sheetViews>
    <sheetView workbookViewId="0">
      <selection activeCell="A12" sqref="A12:F12"/>
    </sheetView>
  </sheetViews>
  <sheetFormatPr defaultRowHeight="15" x14ac:dyDescent="0.25"/>
  <cols>
    <col min="2" max="2" width="30.85546875" customWidth="1"/>
    <col min="3" max="3" width="36.140625" customWidth="1"/>
    <col min="4" max="4" width="14.85546875" customWidth="1"/>
    <col min="5" max="5" width="14.7109375" customWidth="1"/>
    <col min="6" max="6" width="6" customWidth="1"/>
    <col min="7" max="7" width="3.7109375" customWidth="1"/>
    <col min="8" max="8" width="4.140625" customWidth="1"/>
    <col min="9" max="10" width="3.140625" customWidth="1"/>
    <col min="11" max="11" width="2.5703125" customWidth="1"/>
    <col min="12" max="12" width="3.42578125" customWidth="1"/>
    <col min="13" max="13" width="12" customWidth="1"/>
    <col min="17" max="17" width="19" customWidth="1"/>
    <col min="18" max="18" width="34.85546875" customWidth="1"/>
    <col min="19" max="19" width="13.85546875" customWidth="1"/>
    <col min="20" max="20" width="13.7109375" customWidth="1"/>
  </cols>
  <sheetData>
    <row r="1" spans="1:20" ht="15" customHeight="1" x14ac:dyDescent="0.25">
      <c r="A1" s="92" t="s">
        <v>22</v>
      </c>
      <c r="B1" s="92"/>
      <c r="C1" s="92"/>
      <c r="D1" s="92"/>
      <c r="E1" s="92"/>
      <c r="F1" s="92"/>
      <c r="G1" s="29"/>
      <c r="H1" s="29"/>
      <c r="I1" s="29"/>
      <c r="M1" s="31" t="s">
        <v>59</v>
      </c>
      <c r="P1" s="90" t="s">
        <v>60</v>
      </c>
      <c r="Q1" s="90"/>
      <c r="R1" s="90"/>
      <c r="S1" s="90"/>
      <c r="T1" s="90"/>
    </row>
    <row r="2" spans="1:20" ht="15" customHeight="1" x14ac:dyDescent="0.25">
      <c r="A2" s="88"/>
      <c r="B2" s="88"/>
      <c r="C2" s="88"/>
      <c r="D2" s="88"/>
      <c r="E2" s="88"/>
      <c r="F2" s="88"/>
      <c r="G2" s="29"/>
      <c r="H2" s="29"/>
      <c r="I2" s="29"/>
      <c r="M2" s="32" t="s">
        <v>21</v>
      </c>
      <c r="P2" s="91"/>
      <c r="Q2" s="91"/>
      <c r="R2" s="91"/>
      <c r="S2" s="91"/>
      <c r="T2" s="91"/>
    </row>
    <row r="3" spans="1:20" x14ac:dyDescent="0.25">
      <c r="A3" s="52" t="s">
        <v>23</v>
      </c>
      <c r="B3" s="52" t="s">
        <v>106</v>
      </c>
      <c r="C3" s="52" t="s">
        <v>25</v>
      </c>
      <c r="D3" s="52" t="s">
        <v>16</v>
      </c>
      <c r="E3" s="52" t="s">
        <v>26</v>
      </c>
      <c r="F3" s="52" t="s">
        <v>61</v>
      </c>
      <c r="M3" s="33" t="str">
        <f>"*"&amp;'[1]Inventory Management'!R4&amp;"*"</f>
        <v>**</v>
      </c>
      <c r="P3" s="28" t="s">
        <v>23</v>
      </c>
      <c r="Q3" s="28" t="s">
        <v>24</v>
      </c>
      <c r="R3" s="28" t="s">
        <v>25</v>
      </c>
      <c r="S3" s="28" t="s">
        <v>16</v>
      </c>
      <c r="T3" s="28" t="s">
        <v>26</v>
      </c>
    </row>
    <row r="4" spans="1:20" x14ac:dyDescent="0.25">
      <c r="A4" s="18">
        <v>1</v>
      </c>
      <c r="B4" t="s">
        <v>27</v>
      </c>
      <c r="C4" s="30" t="s">
        <v>48</v>
      </c>
      <c r="D4" t="s">
        <v>38</v>
      </c>
      <c r="E4">
        <v>3286147299</v>
      </c>
      <c r="F4">
        <f>ROW()</f>
        <v>4</v>
      </c>
      <c r="P4" s="34">
        <v>1</v>
      </c>
      <c r="Q4" s="35" t="s">
        <v>27</v>
      </c>
      <c r="R4" s="36" t="s">
        <v>48</v>
      </c>
      <c r="S4" s="35" t="s">
        <v>38</v>
      </c>
      <c r="T4" s="35">
        <v>3286147299</v>
      </c>
    </row>
    <row r="5" spans="1:20" x14ac:dyDescent="0.25">
      <c r="A5" s="18">
        <v>2</v>
      </c>
      <c r="B5" t="s">
        <v>28</v>
      </c>
      <c r="C5" s="30" t="s">
        <v>49</v>
      </c>
      <c r="D5" t="s">
        <v>39</v>
      </c>
      <c r="E5">
        <v>3455894869</v>
      </c>
      <c r="F5">
        <f>ROW()</f>
        <v>5</v>
      </c>
      <c r="P5" s="34">
        <v>2</v>
      </c>
      <c r="Q5" s="35" t="s">
        <v>28</v>
      </c>
      <c r="R5" s="36" t="s">
        <v>49</v>
      </c>
      <c r="S5" s="35" t="s">
        <v>39</v>
      </c>
      <c r="T5" s="35">
        <v>3455894869</v>
      </c>
    </row>
    <row r="6" spans="1:20" x14ac:dyDescent="0.25">
      <c r="A6" s="18">
        <v>3</v>
      </c>
      <c r="B6" t="s">
        <v>29</v>
      </c>
      <c r="C6" s="30" t="s">
        <v>50</v>
      </c>
      <c r="D6" t="s">
        <v>40</v>
      </c>
      <c r="E6">
        <v>3488520913</v>
      </c>
      <c r="F6">
        <f>ROW()</f>
        <v>6</v>
      </c>
      <c r="P6" s="34">
        <v>3</v>
      </c>
      <c r="Q6" s="35" t="s">
        <v>29</v>
      </c>
      <c r="R6" s="36" t="s">
        <v>50</v>
      </c>
      <c r="S6" s="35" t="s">
        <v>40</v>
      </c>
      <c r="T6" s="35">
        <v>3488520913</v>
      </c>
    </row>
    <row r="7" spans="1:20" x14ac:dyDescent="0.25">
      <c r="A7" s="18">
        <v>4</v>
      </c>
      <c r="B7" t="s">
        <v>30</v>
      </c>
      <c r="C7" s="30" t="s">
        <v>51</v>
      </c>
      <c r="D7" t="s">
        <v>41</v>
      </c>
      <c r="E7">
        <v>3497730067</v>
      </c>
      <c r="F7">
        <f>ROW()</f>
        <v>7</v>
      </c>
      <c r="P7" s="34">
        <v>4</v>
      </c>
      <c r="Q7" s="35" t="s">
        <v>30</v>
      </c>
      <c r="R7" s="36" t="s">
        <v>51</v>
      </c>
      <c r="S7" s="35" t="s">
        <v>41</v>
      </c>
      <c r="T7" s="35">
        <v>3497730067</v>
      </c>
    </row>
    <row r="8" spans="1:20" x14ac:dyDescent="0.25">
      <c r="A8" s="18">
        <v>5</v>
      </c>
      <c r="B8" t="s">
        <v>31</v>
      </c>
      <c r="C8" s="30" t="s">
        <v>52</v>
      </c>
      <c r="D8" t="s">
        <v>42</v>
      </c>
      <c r="E8">
        <v>3617832508</v>
      </c>
      <c r="F8">
        <f>ROW()</f>
        <v>8</v>
      </c>
      <c r="P8" s="34">
        <v>5</v>
      </c>
      <c r="Q8" s="35" t="s">
        <v>31</v>
      </c>
      <c r="R8" s="36" t="s">
        <v>52</v>
      </c>
      <c r="S8" s="35" t="s">
        <v>42</v>
      </c>
      <c r="T8" s="35">
        <v>3617832508</v>
      </c>
    </row>
    <row r="9" spans="1:20" x14ac:dyDescent="0.25">
      <c r="A9" s="18">
        <v>6</v>
      </c>
      <c r="B9" t="s">
        <v>32</v>
      </c>
      <c r="C9" s="30" t="s">
        <v>53</v>
      </c>
      <c r="D9" t="s">
        <v>43</v>
      </c>
      <c r="E9">
        <v>3652218440</v>
      </c>
      <c r="F9">
        <f>ROW()</f>
        <v>9</v>
      </c>
      <c r="P9" s="34">
        <v>6</v>
      </c>
      <c r="Q9" s="35" t="s">
        <v>32</v>
      </c>
      <c r="R9" s="36" t="s">
        <v>53</v>
      </c>
      <c r="S9" s="35" t="s">
        <v>43</v>
      </c>
      <c r="T9" s="35">
        <v>3652218440</v>
      </c>
    </row>
    <row r="10" spans="1:20" x14ac:dyDescent="0.25">
      <c r="A10" s="18">
        <v>7</v>
      </c>
      <c r="B10" t="s">
        <v>33</v>
      </c>
      <c r="C10" s="30" t="s">
        <v>54</v>
      </c>
      <c r="D10" t="s">
        <v>44</v>
      </c>
      <c r="E10">
        <v>3656677181</v>
      </c>
      <c r="F10">
        <f>ROW()</f>
        <v>10</v>
      </c>
      <c r="P10" s="34">
        <v>7</v>
      </c>
      <c r="Q10" s="35" t="s">
        <v>33</v>
      </c>
      <c r="R10" s="36" t="s">
        <v>54</v>
      </c>
      <c r="S10" s="35" t="s">
        <v>44</v>
      </c>
      <c r="T10" s="35">
        <v>3656677181</v>
      </c>
    </row>
    <row r="11" spans="1:20" x14ac:dyDescent="0.25">
      <c r="A11" s="18">
        <v>8</v>
      </c>
      <c r="B11" t="s">
        <v>34</v>
      </c>
      <c r="C11" s="30" t="s">
        <v>55</v>
      </c>
      <c r="D11" t="s">
        <v>45</v>
      </c>
      <c r="E11">
        <v>3767682976</v>
      </c>
      <c r="F11">
        <f>ROW()</f>
        <v>11</v>
      </c>
      <c r="P11" s="34">
        <v>8</v>
      </c>
      <c r="Q11" s="35" t="s">
        <v>34</v>
      </c>
      <c r="R11" s="36" t="s">
        <v>55</v>
      </c>
      <c r="S11" s="35" t="s">
        <v>45</v>
      </c>
      <c r="T11" s="35">
        <v>3767682976</v>
      </c>
    </row>
    <row r="12" spans="1:20" x14ac:dyDescent="0.25">
      <c r="A12" s="18">
        <v>9</v>
      </c>
      <c r="B12" t="s">
        <v>35</v>
      </c>
      <c r="C12" s="30" t="s">
        <v>56</v>
      </c>
      <c r="D12" t="s">
        <v>46</v>
      </c>
      <c r="E12">
        <v>4548784848</v>
      </c>
      <c r="F12">
        <f>ROW()</f>
        <v>12</v>
      </c>
      <c r="P12" s="34">
        <v>9</v>
      </c>
      <c r="Q12" s="35" t="s">
        <v>35</v>
      </c>
      <c r="R12" s="36" t="s">
        <v>56</v>
      </c>
      <c r="S12" s="35" t="s">
        <v>46</v>
      </c>
      <c r="T12" s="35">
        <v>4548784848</v>
      </c>
    </row>
    <row r="13" spans="1:20" x14ac:dyDescent="0.25">
      <c r="A13" s="18">
        <v>10</v>
      </c>
      <c r="B13" t="s">
        <v>36</v>
      </c>
      <c r="C13" s="30" t="s">
        <v>57</v>
      </c>
      <c r="D13" t="s">
        <v>47</v>
      </c>
      <c r="E13">
        <v>232323232</v>
      </c>
      <c r="F13">
        <f>ROW()</f>
        <v>13</v>
      </c>
      <c r="P13" s="34">
        <v>10</v>
      </c>
      <c r="Q13" s="35" t="s">
        <v>36</v>
      </c>
      <c r="R13" s="36" t="s">
        <v>57</v>
      </c>
      <c r="S13" s="35" t="s">
        <v>47</v>
      </c>
      <c r="T13" s="35">
        <v>232323232</v>
      </c>
    </row>
    <row r="14" spans="1:20" x14ac:dyDescent="0.25">
      <c r="A14" s="18">
        <v>11</v>
      </c>
      <c r="B14" t="s">
        <v>37</v>
      </c>
      <c r="C14" s="30" t="s">
        <v>58</v>
      </c>
      <c r="D14" t="s">
        <v>47</v>
      </c>
      <c r="E14">
        <v>315151515</v>
      </c>
      <c r="F14">
        <f>ROW()</f>
        <v>14</v>
      </c>
      <c r="P14" s="34">
        <v>11</v>
      </c>
      <c r="Q14" s="35" t="s">
        <v>37</v>
      </c>
      <c r="R14" s="36" t="s">
        <v>58</v>
      </c>
      <c r="S14" s="35" t="s">
        <v>47</v>
      </c>
      <c r="T14" s="35">
        <v>315151515</v>
      </c>
    </row>
  </sheetData>
  <mergeCells count="2">
    <mergeCell ref="P1:T2"/>
    <mergeCell ref="A1:F2"/>
  </mergeCells>
  <conditionalFormatting sqref="A4:A14">
    <cfRule type="expression" dxfId="13" priority="10">
      <formula>AND($A4&lt;&gt;"",MOD(ROW(),2)=0)</formula>
    </cfRule>
  </conditionalFormatting>
  <conditionalFormatting sqref="B4:B14">
    <cfRule type="expression" dxfId="12" priority="9">
      <formula>AND($A4&lt;&gt;"",MOD(ROW(),2)=0)</formula>
    </cfRule>
  </conditionalFormatting>
  <conditionalFormatting sqref="C4:C14">
    <cfRule type="expression" dxfId="11" priority="8">
      <formula>AND($A4&lt;&gt;"",MOD(ROW(),2)=0)</formula>
    </cfRule>
  </conditionalFormatting>
  <conditionalFormatting sqref="D4:D14">
    <cfRule type="expression" dxfId="10" priority="7">
      <formula>AND($A4&lt;&gt;"",MOD(ROW(),2)=0)</formula>
    </cfRule>
  </conditionalFormatting>
  <conditionalFormatting sqref="E4:E14">
    <cfRule type="expression" dxfId="9" priority="6">
      <formula>AND($A4&lt;&gt;"",MOD(ROW(),2)=0)</formula>
    </cfRule>
  </conditionalFormatting>
  <conditionalFormatting sqref="P4:P14">
    <cfRule type="expression" dxfId="8" priority="5">
      <formula>AND($A4&lt;&gt;"",MOD(ROW(),2)=0)</formula>
    </cfRule>
  </conditionalFormatting>
  <conditionalFormatting sqref="Q4:Q14">
    <cfRule type="expression" dxfId="7" priority="4">
      <formula>AND($A4&lt;&gt;"",MOD(ROW(),2)=0)</formula>
    </cfRule>
  </conditionalFormatting>
  <conditionalFormatting sqref="R4:R14">
    <cfRule type="expression" dxfId="6" priority="3">
      <formula>AND($A4&lt;&gt;"",MOD(ROW(),2)=0)</formula>
    </cfRule>
  </conditionalFormatting>
  <conditionalFormatting sqref="S4:S14">
    <cfRule type="expression" dxfId="5" priority="2">
      <formula>AND($A4&lt;&gt;"",MOD(ROW(),2)=0)</formula>
    </cfRule>
  </conditionalFormatting>
  <conditionalFormatting sqref="T4:T14">
    <cfRule type="expression" dxfId="4" priority="1">
      <formula>AND($A4&lt;&gt;"",MOD(ROW(),2)=0)</formula>
    </cfRule>
  </conditionalFormatting>
  <hyperlinks>
    <hyperlink ref="C4" r:id="rId1" xr:uid="{8B51A0F5-5556-471D-9E15-AA9D4ACE3DBE}"/>
    <hyperlink ref="C5" r:id="rId2" xr:uid="{52A4A75F-AF19-4C93-B5A6-42604AB3E62B}"/>
    <hyperlink ref="C6" r:id="rId3" xr:uid="{E80D181A-33C8-4993-B018-65957EAEEF85}"/>
    <hyperlink ref="C7" r:id="rId4" xr:uid="{FBEC405C-952F-4982-A300-84616ECD5ECE}"/>
    <hyperlink ref="C8" r:id="rId5" xr:uid="{0C2B07FA-8FC6-4D52-9006-F34CAB911FF0}"/>
    <hyperlink ref="C9" r:id="rId6" xr:uid="{5C107953-645F-4545-8E57-FA3519162638}"/>
    <hyperlink ref="C10" r:id="rId7" xr:uid="{3ECC31AC-D87C-4368-8798-4E22FBD453AB}"/>
    <hyperlink ref="C11" r:id="rId8" xr:uid="{D92FA012-C798-44EF-874E-2B68B3B6FF32}"/>
    <hyperlink ref="C12" r:id="rId9" xr:uid="{4F3DBFA0-01A3-4C8D-BC74-353D9D9DD668}"/>
    <hyperlink ref="C13" r:id="rId10" xr:uid="{7631436F-2A6C-46F3-B75A-294C21DB0983}"/>
    <hyperlink ref="C14" r:id="rId11" xr:uid="{7B1205AE-E411-4F07-97EE-4180EA506CAE}"/>
    <hyperlink ref="R4" r:id="rId12" xr:uid="{71EE6C52-48CA-4DBC-9BEB-E38F7D38674A}"/>
    <hyperlink ref="R5" r:id="rId13" xr:uid="{C4FD9524-5DE8-46D6-9977-A534B878E0A8}"/>
    <hyperlink ref="R6" r:id="rId14" xr:uid="{3DCCFBD8-2AAC-4CDB-BF3E-19AB19D132B4}"/>
    <hyperlink ref="R7" r:id="rId15" xr:uid="{E62A73B9-8A7D-4771-96EF-8BD19F9FF305}"/>
    <hyperlink ref="R8" r:id="rId16" xr:uid="{26FCBF03-74AE-428E-8BB0-2B12D55F47F4}"/>
    <hyperlink ref="R9" r:id="rId17" xr:uid="{F2E61F89-1976-4542-81A8-DB5B1FC9105F}"/>
    <hyperlink ref="R10" r:id="rId18" xr:uid="{1645AD37-DB5D-42C7-AA89-411AEEB0661E}"/>
    <hyperlink ref="R11" r:id="rId19" xr:uid="{E8D3A4A8-36A7-4925-A564-9336A1573D16}"/>
    <hyperlink ref="R12" r:id="rId20" xr:uid="{E09DE359-6148-4901-BD23-ECD7A6389E76}"/>
    <hyperlink ref="R13" r:id="rId21" xr:uid="{76417B1E-7492-47C0-992D-5C121B830149}"/>
    <hyperlink ref="R14" r:id="rId22" xr:uid="{9EF3159B-E02D-453A-BD2F-9185763517A6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FB4EC-B843-4B19-A1BC-981E2F4CA1AE}">
  <sheetPr codeName="Sheet4"/>
  <dimension ref="A1:M5"/>
  <sheetViews>
    <sheetView workbookViewId="0">
      <selection sqref="A1:D5"/>
    </sheetView>
  </sheetViews>
  <sheetFormatPr defaultRowHeight="15" x14ac:dyDescent="0.25"/>
  <cols>
    <col min="2" max="2" width="14.140625" customWidth="1"/>
    <col min="3" max="3" width="12.42578125" customWidth="1"/>
    <col min="4" max="4" width="8.140625" customWidth="1"/>
    <col min="13" max="13" width="14.42578125" customWidth="1"/>
  </cols>
  <sheetData>
    <row r="1" spans="1:13" ht="15" customHeight="1" x14ac:dyDescent="0.25">
      <c r="A1" s="90" t="s">
        <v>90</v>
      </c>
      <c r="B1" s="90"/>
      <c r="C1" s="90"/>
      <c r="D1" s="90"/>
      <c r="E1" s="40"/>
      <c r="F1" s="40"/>
      <c r="G1" s="40"/>
      <c r="H1" s="40"/>
      <c r="I1" s="40"/>
      <c r="M1" s="51" t="s">
        <v>59</v>
      </c>
    </row>
    <row r="2" spans="1:13" ht="15" customHeight="1" x14ac:dyDescent="0.25">
      <c r="A2" s="91"/>
      <c r="B2" s="91"/>
      <c r="C2" s="91"/>
      <c r="D2" s="91"/>
      <c r="E2" s="40"/>
      <c r="F2" s="40"/>
      <c r="G2" s="40"/>
      <c r="H2" s="40"/>
      <c r="I2" s="40"/>
      <c r="M2" s="28" t="s">
        <v>92</v>
      </c>
    </row>
    <row r="3" spans="1:13" x14ac:dyDescent="0.25">
      <c r="A3" s="28" t="s">
        <v>91</v>
      </c>
      <c r="B3" s="28" t="s">
        <v>92</v>
      </c>
      <c r="C3" s="28" t="s">
        <v>80</v>
      </c>
      <c r="D3" s="28" t="s">
        <v>61</v>
      </c>
      <c r="M3" s="33" t="str">
        <f>"*"&amp;'[1]Inventory Management'!AC4&amp;"*"</f>
        <v>**</v>
      </c>
    </row>
    <row r="4" spans="1:13" x14ac:dyDescent="0.25">
      <c r="A4">
        <v>1</v>
      </c>
      <c r="B4" t="s">
        <v>68</v>
      </c>
      <c r="C4" t="s">
        <v>93</v>
      </c>
      <c r="D4">
        <f>ROW()</f>
        <v>4</v>
      </c>
    </row>
    <row r="5" spans="1:13" x14ac:dyDescent="0.25">
      <c r="A5">
        <v>2</v>
      </c>
      <c r="B5" t="s">
        <v>69</v>
      </c>
      <c r="C5" t="s">
        <v>94</v>
      </c>
      <c r="D5">
        <f>ROW()</f>
        <v>5</v>
      </c>
    </row>
  </sheetData>
  <mergeCells count="1">
    <mergeCell ref="A1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22F08-1E46-4F53-95DD-616EBA63B0BA}">
  <sheetPr codeName="Sheet5"/>
  <dimension ref="A1:I12"/>
  <sheetViews>
    <sheetView workbookViewId="0">
      <selection activeCell="H2" sqref="H2"/>
    </sheetView>
  </sheetViews>
  <sheetFormatPr defaultRowHeight="15" x14ac:dyDescent="0.25"/>
  <cols>
    <col min="2" max="2" width="13.85546875" customWidth="1"/>
    <col min="3" max="3" width="12" customWidth="1"/>
    <col min="4" max="4" width="12.140625" customWidth="1"/>
  </cols>
  <sheetData>
    <row r="1" spans="1:9" ht="15" customHeight="1" x14ac:dyDescent="0.25">
      <c r="A1" s="90" t="s">
        <v>74</v>
      </c>
      <c r="B1" s="90"/>
      <c r="C1" s="90"/>
      <c r="D1" s="90"/>
      <c r="E1" s="90"/>
      <c r="F1" s="90"/>
      <c r="G1" s="40"/>
      <c r="H1" s="40"/>
      <c r="I1" s="40"/>
    </row>
    <row r="2" spans="1:9" ht="15" customHeight="1" x14ac:dyDescent="0.25">
      <c r="A2" s="91"/>
      <c r="B2" s="91"/>
      <c r="C2" s="91"/>
      <c r="D2" s="91"/>
      <c r="E2" s="91"/>
      <c r="F2" s="91"/>
      <c r="G2" s="40"/>
      <c r="H2" s="40"/>
      <c r="I2" s="40"/>
    </row>
    <row r="3" spans="1:9" x14ac:dyDescent="0.25">
      <c r="A3" s="41" t="s">
        <v>77</v>
      </c>
      <c r="B3" s="41" t="s">
        <v>78</v>
      </c>
      <c r="C3" s="41" t="s">
        <v>79</v>
      </c>
      <c r="D3" s="41" t="s">
        <v>80</v>
      </c>
      <c r="E3" s="41" t="s">
        <v>81</v>
      </c>
      <c r="F3" s="41" t="s">
        <v>61</v>
      </c>
    </row>
    <row r="4" spans="1:9" x14ac:dyDescent="0.25">
      <c r="A4" s="42">
        <v>1</v>
      </c>
      <c r="B4" s="58" t="s">
        <v>82</v>
      </c>
      <c r="C4" s="59">
        <v>10</v>
      </c>
      <c r="D4" s="58" t="s">
        <v>68</v>
      </c>
      <c r="E4" s="60">
        <v>10</v>
      </c>
      <c r="F4" s="35">
        <f>ROW()</f>
        <v>4</v>
      </c>
    </row>
    <row r="5" spans="1:9" x14ac:dyDescent="0.25">
      <c r="A5" s="44">
        <v>2</v>
      </c>
      <c r="B5" s="61" t="s">
        <v>83</v>
      </c>
      <c r="C5" s="58">
        <v>20</v>
      </c>
      <c r="D5" s="58" t="s">
        <v>68</v>
      </c>
      <c r="E5" s="60">
        <v>20</v>
      </c>
      <c r="F5" s="35">
        <f>ROW()</f>
        <v>5</v>
      </c>
    </row>
    <row r="6" spans="1:9" x14ac:dyDescent="0.25">
      <c r="A6" s="42">
        <v>3</v>
      </c>
      <c r="B6" s="61" t="s">
        <v>84</v>
      </c>
      <c r="C6" s="58">
        <v>10</v>
      </c>
      <c r="D6" s="58" t="s">
        <v>68</v>
      </c>
      <c r="E6" s="60">
        <v>10</v>
      </c>
      <c r="F6" s="35">
        <f>ROW()</f>
        <v>6</v>
      </c>
    </row>
    <row r="7" spans="1:9" x14ac:dyDescent="0.25">
      <c r="A7" s="44">
        <v>4</v>
      </c>
      <c r="B7" s="62" t="s">
        <v>85</v>
      </c>
      <c r="C7" s="58">
        <v>10</v>
      </c>
      <c r="D7" s="58" t="s">
        <v>68</v>
      </c>
      <c r="E7" s="60">
        <v>10</v>
      </c>
      <c r="F7" s="35">
        <f>ROW()</f>
        <v>7</v>
      </c>
    </row>
    <row r="8" spans="1:9" x14ac:dyDescent="0.25">
      <c r="A8" s="42">
        <v>5</v>
      </c>
      <c r="B8" s="62" t="s">
        <v>86</v>
      </c>
      <c r="C8" s="58">
        <v>20</v>
      </c>
      <c r="D8" s="58" t="s">
        <v>68</v>
      </c>
      <c r="E8" s="60">
        <v>20</v>
      </c>
      <c r="F8" s="35">
        <f>ROW()</f>
        <v>8</v>
      </c>
    </row>
    <row r="9" spans="1:9" x14ac:dyDescent="0.25">
      <c r="A9" s="44">
        <v>6</v>
      </c>
      <c r="B9" s="58" t="s">
        <v>87</v>
      </c>
      <c r="C9" s="58">
        <v>30</v>
      </c>
      <c r="D9" s="58" t="s">
        <v>69</v>
      </c>
      <c r="E9" s="63"/>
      <c r="F9" s="35">
        <f>ROW()</f>
        <v>9</v>
      </c>
    </row>
    <row r="10" spans="1:9" x14ac:dyDescent="0.25">
      <c r="A10" s="48">
        <v>7</v>
      </c>
      <c r="B10" s="35" t="s">
        <v>88</v>
      </c>
      <c r="C10" s="50">
        <v>4</v>
      </c>
      <c r="D10" s="50" t="s">
        <v>68</v>
      </c>
      <c r="E10" s="35">
        <v>4</v>
      </c>
      <c r="F10" s="35">
        <f>ROW()</f>
        <v>10</v>
      </c>
    </row>
    <row r="11" spans="1:9" x14ac:dyDescent="0.25">
      <c r="A11" s="49">
        <v>8</v>
      </c>
      <c r="B11" s="35" t="s">
        <v>89</v>
      </c>
      <c r="C11" s="50">
        <v>4</v>
      </c>
      <c r="D11" s="50" t="s">
        <v>68</v>
      </c>
      <c r="E11" s="35">
        <v>4</v>
      </c>
      <c r="F11" s="35">
        <f>ROW()</f>
        <v>11</v>
      </c>
    </row>
    <row r="12" spans="1:9" x14ac:dyDescent="0.25">
      <c r="B12" s="35"/>
      <c r="C12" s="35"/>
      <c r="D12" s="35"/>
      <c r="E12" s="35"/>
      <c r="F12" s="35"/>
    </row>
  </sheetData>
  <mergeCells count="1">
    <mergeCell ref="A1:F2"/>
  </mergeCells>
  <dataValidations count="1">
    <dataValidation type="list" allowBlank="1" showInputMessage="1" showErrorMessage="1" sqref="C4:C9" xr:uid="{FEF313AB-C28C-4FE5-95E6-572F200695A3}">
      <formula1>Categories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73A63-75EE-4035-BFC3-562D3C926496}">
  <sheetPr codeName="Sheet6"/>
  <dimension ref="A1:H42"/>
  <sheetViews>
    <sheetView workbookViewId="0">
      <selection activeCell="A3" sqref="A3"/>
    </sheetView>
  </sheetViews>
  <sheetFormatPr defaultRowHeight="15" x14ac:dyDescent="0.25"/>
  <cols>
    <col min="2" max="2" width="10" customWidth="1"/>
    <col min="3" max="3" width="14.85546875" customWidth="1"/>
    <col min="4" max="4" width="14.42578125" customWidth="1"/>
    <col min="5" max="5" width="11.7109375" customWidth="1"/>
    <col min="6" max="6" width="12.5703125" customWidth="1"/>
    <col min="7" max="7" width="12.42578125" customWidth="1"/>
  </cols>
  <sheetData>
    <row r="1" spans="1:8" ht="15" customHeight="1" x14ac:dyDescent="0.25">
      <c r="A1" s="90" t="s">
        <v>62</v>
      </c>
      <c r="B1" s="90"/>
      <c r="C1" s="90"/>
      <c r="D1" s="90"/>
      <c r="E1" s="90"/>
      <c r="F1" s="90"/>
      <c r="G1" s="90"/>
      <c r="H1" s="40"/>
    </row>
    <row r="2" spans="1:8" ht="15" customHeight="1" x14ac:dyDescent="0.25">
      <c r="A2" s="91"/>
      <c r="B2" s="91"/>
      <c r="C2" s="91"/>
      <c r="D2" s="91"/>
      <c r="E2" s="91"/>
      <c r="F2" s="91"/>
      <c r="G2" s="91"/>
      <c r="H2" s="40"/>
    </row>
    <row r="3" spans="1:8" x14ac:dyDescent="0.25">
      <c r="A3" s="28" t="s">
        <v>63</v>
      </c>
      <c r="B3" s="28" t="s">
        <v>64</v>
      </c>
      <c r="C3" s="28" t="s">
        <v>65</v>
      </c>
      <c r="D3" s="37" t="s">
        <v>13</v>
      </c>
      <c r="E3" s="28" t="s">
        <v>71</v>
      </c>
      <c r="F3" s="37" t="s">
        <v>73</v>
      </c>
      <c r="G3" s="28" t="s">
        <v>72</v>
      </c>
      <c r="H3" s="28" t="s">
        <v>61</v>
      </c>
    </row>
    <row r="4" spans="1:8" x14ac:dyDescent="0.25">
      <c r="A4" s="18">
        <v>1</v>
      </c>
      <c r="B4" t="s">
        <v>66</v>
      </c>
      <c r="C4" t="s">
        <v>68</v>
      </c>
      <c r="D4" s="38">
        <v>44949</v>
      </c>
      <c r="E4" s="39">
        <v>75.88</v>
      </c>
      <c r="F4" s="38">
        <v>44949</v>
      </c>
      <c r="G4" s="39">
        <v>75.88</v>
      </c>
      <c r="H4">
        <f>ROW()</f>
        <v>4</v>
      </c>
    </row>
    <row r="5" spans="1:8" x14ac:dyDescent="0.25">
      <c r="A5" s="18">
        <v>2</v>
      </c>
      <c r="B5" t="s">
        <v>67</v>
      </c>
      <c r="C5" t="s">
        <v>70</v>
      </c>
      <c r="D5" s="38">
        <v>44949</v>
      </c>
      <c r="E5" s="39">
        <v>32.9</v>
      </c>
      <c r="F5" s="38">
        <v>44949</v>
      </c>
      <c r="G5" s="39">
        <v>32.9</v>
      </c>
      <c r="H5">
        <f>ROW()</f>
        <v>5</v>
      </c>
    </row>
    <row r="6" spans="1:8" x14ac:dyDescent="0.25">
      <c r="A6" s="18">
        <v>3</v>
      </c>
      <c r="B6" t="s">
        <v>66</v>
      </c>
      <c r="C6" t="s">
        <v>69</v>
      </c>
      <c r="D6" s="38">
        <v>44981</v>
      </c>
      <c r="E6" s="39">
        <v>101.97</v>
      </c>
      <c r="F6" s="38">
        <v>44981</v>
      </c>
      <c r="G6" s="39">
        <v>101.97</v>
      </c>
      <c r="H6">
        <f>ROW()</f>
        <v>6</v>
      </c>
    </row>
    <row r="7" spans="1:8" x14ac:dyDescent="0.25">
      <c r="A7" s="18">
        <v>4</v>
      </c>
      <c r="B7" t="s">
        <v>67</v>
      </c>
      <c r="C7" t="s">
        <v>69</v>
      </c>
      <c r="D7" s="38">
        <v>44981</v>
      </c>
      <c r="E7" s="39">
        <v>262.02</v>
      </c>
      <c r="F7" s="38">
        <v>44981</v>
      </c>
      <c r="G7" s="39">
        <v>262.02</v>
      </c>
      <c r="H7">
        <f>ROW()</f>
        <v>7</v>
      </c>
    </row>
    <row r="8" spans="1:8" x14ac:dyDescent="0.25">
      <c r="A8" s="18">
        <v>5</v>
      </c>
      <c r="B8" t="s">
        <v>66</v>
      </c>
      <c r="C8" t="s">
        <v>68</v>
      </c>
      <c r="D8" s="38">
        <v>45009</v>
      </c>
      <c r="E8" s="39">
        <v>411.51</v>
      </c>
      <c r="F8" s="38">
        <v>45009</v>
      </c>
      <c r="G8" s="39">
        <v>411.51</v>
      </c>
      <c r="H8">
        <f>ROW()</f>
        <v>8</v>
      </c>
    </row>
    <row r="9" spans="1:8" x14ac:dyDescent="0.25">
      <c r="A9" s="18">
        <v>6</v>
      </c>
      <c r="B9" t="s">
        <v>67</v>
      </c>
      <c r="C9" t="s">
        <v>68</v>
      </c>
      <c r="D9" s="38">
        <v>45031</v>
      </c>
      <c r="E9" s="39">
        <v>92.35</v>
      </c>
      <c r="F9" s="38">
        <v>45031</v>
      </c>
      <c r="G9" s="39">
        <v>92.35</v>
      </c>
      <c r="H9">
        <f>ROW()</f>
        <v>9</v>
      </c>
    </row>
    <row r="10" spans="1:8" x14ac:dyDescent="0.25">
      <c r="A10" s="18">
        <v>7</v>
      </c>
      <c r="B10" t="s">
        <v>66</v>
      </c>
      <c r="C10" t="s">
        <v>69</v>
      </c>
      <c r="D10" s="38">
        <v>45039</v>
      </c>
      <c r="E10" s="39">
        <v>75.88</v>
      </c>
      <c r="F10" s="38">
        <v>45039</v>
      </c>
      <c r="G10" s="39">
        <v>75.88</v>
      </c>
      <c r="H10">
        <f>ROW()</f>
        <v>10</v>
      </c>
    </row>
    <row r="11" spans="1:8" x14ac:dyDescent="0.25">
      <c r="A11" s="18">
        <v>8</v>
      </c>
      <c r="B11" t="s">
        <v>67</v>
      </c>
      <c r="C11" t="s">
        <v>69</v>
      </c>
      <c r="D11" s="38">
        <v>45039</v>
      </c>
      <c r="E11" s="39">
        <v>32.9</v>
      </c>
      <c r="F11" s="38">
        <v>45039</v>
      </c>
      <c r="G11" s="39">
        <v>32.9</v>
      </c>
      <c r="H11">
        <f>ROW()</f>
        <v>11</v>
      </c>
    </row>
    <row r="12" spans="1:8" x14ac:dyDescent="0.25">
      <c r="A12" s="18">
        <v>9</v>
      </c>
      <c r="B12" t="s">
        <v>66</v>
      </c>
      <c r="C12" t="s">
        <v>68</v>
      </c>
      <c r="D12" s="38">
        <v>45040</v>
      </c>
      <c r="E12" s="39">
        <v>101.97</v>
      </c>
      <c r="F12" s="38">
        <v>45040</v>
      </c>
      <c r="G12" s="39">
        <v>101.97</v>
      </c>
      <c r="H12">
        <f>ROW()</f>
        <v>12</v>
      </c>
    </row>
    <row r="13" spans="1:8" x14ac:dyDescent="0.25">
      <c r="A13" s="18">
        <v>10</v>
      </c>
      <c r="B13" t="s">
        <v>67</v>
      </c>
      <c r="C13" t="s">
        <v>68</v>
      </c>
      <c r="D13" s="38">
        <v>45070</v>
      </c>
      <c r="E13" s="39">
        <v>262.02</v>
      </c>
      <c r="F13" s="38">
        <v>45070</v>
      </c>
      <c r="G13" s="39">
        <v>262.02</v>
      </c>
      <c r="H13">
        <f>ROW()</f>
        <v>13</v>
      </c>
    </row>
    <row r="14" spans="1:8" x14ac:dyDescent="0.25">
      <c r="A14" s="18">
        <v>11</v>
      </c>
      <c r="B14" t="s">
        <v>66</v>
      </c>
      <c r="C14" t="s">
        <v>69</v>
      </c>
      <c r="D14" s="38">
        <v>45070</v>
      </c>
      <c r="E14" s="39">
        <v>411.51</v>
      </c>
      <c r="F14" s="38">
        <v>45070</v>
      </c>
      <c r="G14" s="39">
        <v>411.51</v>
      </c>
      <c r="H14">
        <f>ROW()</f>
        <v>14</v>
      </c>
    </row>
    <row r="15" spans="1:8" x14ac:dyDescent="0.25">
      <c r="A15" s="18">
        <v>12</v>
      </c>
      <c r="B15" t="s">
        <v>67</v>
      </c>
      <c r="C15" t="s">
        <v>69</v>
      </c>
      <c r="D15" s="38">
        <v>45031</v>
      </c>
      <c r="E15" s="39">
        <v>92.35</v>
      </c>
      <c r="F15" s="38">
        <v>45031</v>
      </c>
      <c r="G15" s="39">
        <v>92.35</v>
      </c>
      <c r="H15">
        <f>ROW()</f>
        <v>15</v>
      </c>
    </row>
    <row r="16" spans="1:8" x14ac:dyDescent="0.25">
      <c r="A16" s="18">
        <v>13</v>
      </c>
      <c r="B16" t="s">
        <v>66</v>
      </c>
      <c r="C16" t="s">
        <v>68</v>
      </c>
      <c r="D16" s="38">
        <v>45070</v>
      </c>
      <c r="E16" s="39">
        <v>101.97</v>
      </c>
      <c r="F16" s="38">
        <v>45070</v>
      </c>
      <c r="G16" s="39">
        <v>101.97</v>
      </c>
      <c r="H16">
        <f>ROW()</f>
        <v>16</v>
      </c>
    </row>
    <row r="17" spans="1:8" x14ac:dyDescent="0.25">
      <c r="A17" s="18">
        <v>14</v>
      </c>
      <c r="B17" t="s">
        <v>67</v>
      </c>
      <c r="C17" t="s">
        <v>68</v>
      </c>
      <c r="D17" s="38">
        <v>45079</v>
      </c>
      <c r="E17" s="39">
        <v>75.88</v>
      </c>
      <c r="F17" s="38">
        <v>45079</v>
      </c>
      <c r="G17" s="39">
        <v>75.88</v>
      </c>
      <c r="H17">
        <f>ROW()</f>
        <v>17</v>
      </c>
    </row>
    <row r="18" spans="1:8" x14ac:dyDescent="0.25">
      <c r="A18" s="18">
        <v>15</v>
      </c>
      <c r="B18" t="s">
        <v>66</v>
      </c>
      <c r="C18" t="s">
        <v>69</v>
      </c>
      <c r="D18" s="38">
        <v>45079</v>
      </c>
      <c r="E18" s="39">
        <v>32.9</v>
      </c>
      <c r="F18" s="38">
        <v>45079</v>
      </c>
      <c r="G18" s="39">
        <v>32.9</v>
      </c>
      <c r="H18">
        <f>ROW()</f>
        <v>18</v>
      </c>
    </row>
    <row r="19" spans="1:8" x14ac:dyDescent="0.25">
      <c r="A19" s="18">
        <v>16</v>
      </c>
      <c r="B19" t="s">
        <v>67</v>
      </c>
      <c r="C19" t="s">
        <v>69</v>
      </c>
      <c r="D19" s="38">
        <v>45111</v>
      </c>
      <c r="E19" s="39">
        <v>101.97</v>
      </c>
      <c r="F19" s="38">
        <v>45111</v>
      </c>
      <c r="G19" s="39">
        <v>101.97</v>
      </c>
      <c r="H19">
        <f>ROW()</f>
        <v>19</v>
      </c>
    </row>
    <row r="20" spans="1:8" x14ac:dyDescent="0.25">
      <c r="A20" s="18">
        <v>17</v>
      </c>
      <c r="B20" t="s">
        <v>66</v>
      </c>
      <c r="C20" t="s">
        <v>68</v>
      </c>
      <c r="D20" s="38">
        <v>45111</v>
      </c>
      <c r="E20" s="39">
        <v>262.02</v>
      </c>
      <c r="F20" s="38">
        <v>45111</v>
      </c>
      <c r="G20" s="39">
        <v>262.02</v>
      </c>
      <c r="H20">
        <f>ROW()</f>
        <v>20</v>
      </c>
    </row>
    <row r="21" spans="1:8" x14ac:dyDescent="0.25">
      <c r="A21" s="18">
        <v>18</v>
      </c>
      <c r="B21" t="s">
        <v>67</v>
      </c>
      <c r="C21" t="s">
        <v>68</v>
      </c>
      <c r="D21" s="38">
        <v>45139</v>
      </c>
      <c r="E21" s="39">
        <v>411.51</v>
      </c>
      <c r="F21" s="38">
        <v>45139</v>
      </c>
      <c r="G21" s="39">
        <v>411.51</v>
      </c>
      <c r="H21">
        <f>ROW()</f>
        <v>21</v>
      </c>
    </row>
    <row r="22" spans="1:8" x14ac:dyDescent="0.25">
      <c r="A22" s="18">
        <v>19</v>
      </c>
      <c r="B22" t="s">
        <v>66</v>
      </c>
      <c r="C22" t="s">
        <v>69</v>
      </c>
      <c r="D22" s="38">
        <v>45161</v>
      </c>
      <c r="E22" s="39">
        <v>92.35</v>
      </c>
      <c r="F22" s="38">
        <v>45161</v>
      </c>
      <c r="G22" s="39">
        <v>92.35</v>
      </c>
      <c r="H22">
        <f>ROW()</f>
        <v>22</v>
      </c>
    </row>
    <row r="23" spans="1:8" x14ac:dyDescent="0.25">
      <c r="A23" s="18">
        <v>20</v>
      </c>
      <c r="B23" t="s">
        <v>67</v>
      </c>
      <c r="C23" t="s">
        <v>69</v>
      </c>
      <c r="D23" s="38">
        <v>45059</v>
      </c>
      <c r="E23" s="39">
        <v>75.88</v>
      </c>
      <c r="F23" s="38">
        <v>45059</v>
      </c>
      <c r="G23" s="39">
        <v>75.88</v>
      </c>
      <c r="H23">
        <f>ROW()</f>
        <v>23</v>
      </c>
    </row>
    <row r="24" spans="1:8" x14ac:dyDescent="0.25">
      <c r="A24" s="18">
        <v>21</v>
      </c>
      <c r="B24" t="s">
        <v>66</v>
      </c>
      <c r="C24" t="s">
        <v>68</v>
      </c>
      <c r="D24" s="38">
        <v>45062</v>
      </c>
      <c r="E24" s="39">
        <v>32.9</v>
      </c>
      <c r="F24" s="38">
        <v>45062</v>
      </c>
      <c r="G24" s="39">
        <v>32.9</v>
      </c>
      <c r="H24">
        <f>ROW()</f>
        <v>24</v>
      </c>
    </row>
    <row r="25" spans="1:8" x14ac:dyDescent="0.25">
      <c r="A25" s="18">
        <v>22</v>
      </c>
      <c r="B25" t="s">
        <v>67</v>
      </c>
      <c r="C25" t="s">
        <v>68</v>
      </c>
      <c r="D25" s="38">
        <v>45170</v>
      </c>
      <c r="E25" s="39">
        <v>101.97</v>
      </c>
      <c r="F25" s="38">
        <v>45170</v>
      </c>
      <c r="G25" s="39">
        <v>101.97</v>
      </c>
      <c r="H25">
        <f>ROW()</f>
        <v>25</v>
      </c>
    </row>
    <row r="26" spans="1:8" x14ac:dyDescent="0.25">
      <c r="A26" s="18">
        <v>23</v>
      </c>
      <c r="B26" t="s">
        <v>66</v>
      </c>
      <c r="C26" t="s">
        <v>69</v>
      </c>
      <c r="D26" s="38">
        <v>45200</v>
      </c>
      <c r="E26" s="39">
        <v>262.02</v>
      </c>
      <c r="F26" s="38">
        <v>45200</v>
      </c>
      <c r="G26" s="39">
        <v>262.02</v>
      </c>
      <c r="H26">
        <f>ROW()</f>
        <v>26</v>
      </c>
    </row>
    <row r="27" spans="1:8" x14ac:dyDescent="0.25">
      <c r="A27" s="18">
        <v>24</v>
      </c>
      <c r="B27" t="s">
        <v>67</v>
      </c>
      <c r="C27" t="s">
        <v>69</v>
      </c>
      <c r="D27" s="38">
        <v>45200</v>
      </c>
      <c r="E27" s="39">
        <v>411.51</v>
      </c>
      <c r="F27" s="38">
        <v>45200</v>
      </c>
      <c r="G27" s="39">
        <v>411.51</v>
      </c>
      <c r="H27">
        <f>ROW()</f>
        <v>27</v>
      </c>
    </row>
    <row r="28" spans="1:8" x14ac:dyDescent="0.25">
      <c r="A28" s="18">
        <v>25</v>
      </c>
      <c r="B28" t="s">
        <v>66</v>
      </c>
      <c r="C28" t="s">
        <v>68</v>
      </c>
      <c r="D28" s="38">
        <v>45161</v>
      </c>
      <c r="E28" s="39">
        <v>92.35</v>
      </c>
      <c r="F28" s="38">
        <v>45161</v>
      </c>
      <c r="G28" s="39">
        <v>92.35</v>
      </c>
      <c r="H28">
        <f>ROW()</f>
        <v>28</v>
      </c>
    </row>
    <row r="29" spans="1:8" x14ac:dyDescent="0.25">
      <c r="A29" s="18">
        <v>26</v>
      </c>
      <c r="B29" t="s">
        <v>67</v>
      </c>
      <c r="C29" t="s">
        <v>68</v>
      </c>
      <c r="D29" s="38">
        <v>45065</v>
      </c>
      <c r="E29" s="39">
        <v>101.97</v>
      </c>
      <c r="F29" s="38">
        <v>45065</v>
      </c>
      <c r="G29" s="39">
        <v>101.97</v>
      </c>
      <c r="H29">
        <f>ROW()</f>
        <v>29</v>
      </c>
    </row>
    <row r="30" spans="1:8" x14ac:dyDescent="0.25">
      <c r="A30" s="18">
        <v>27</v>
      </c>
      <c r="B30" t="s">
        <v>66</v>
      </c>
      <c r="C30" t="s">
        <v>69</v>
      </c>
      <c r="D30" s="38">
        <v>45079</v>
      </c>
      <c r="E30" s="39">
        <v>75.88</v>
      </c>
      <c r="F30" s="38">
        <v>45079</v>
      </c>
      <c r="G30" s="39">
        <v>75.88</v>
      </c>
      <c r="H30">
        <f>ROW()</f>
        <v>30</v>
      </c>
    </row>
    <row r="31" spans="1:8" x14ac:dyDescent="0.25">
      <c r="A31" s="18">
        <v>28</v>
      </c>
      <c r="B31" t="s">
        <v>67</v>
      </c>
      <c r="C31" t="s">
        <v>69</v>
      </c>
      <c r="D31" s="38">
        <v>45079</v>
      </c>
      <c r="E31" s="39">
        <v>32.9</v>
      </c>
      <c r="F31" s="38">
        <v>45079</v>
      </c>
      <c r="G31" s="39">
        <v>32.9</v>
      </c>
      <c r="H31">
        <f>ROW()</f>
        <v>31</v>
      </c>
    </row>
    <row r="32" spans="1:8" x14ac:dyDescent="0.25">
      <c r="A32" s="18">
        <v>29</v>
      </c>
      <c r="B32" t="s">
        <v>66</v>
      </c>
      <c r="C32" t="s">
        <v>68</v>
      </c>
      <c r="D32" s="38">
        <v>45111</v>
      </c>
      <c r="E32" s="39">
        <v>101.97</v>
      </c>
      <c r="F32" s="38">
        <v>45111</v>
      </c>
      <c r="G32" s="39">
        <v>101.97</v>
      </c>
      <c r="H32">
        <f>ROW()</f>
        <v>32</v>
      </c>
    </row>
    <row r="33" spans="1:8" x14ac:dyDescent="0.25">
      <c r="A33" s="18">
        <v>30</v>
      </c>
      <c r="B33" t="s">
        <v>67</v>
      </c>
      <c r="C33" t="s">
        <v>68</v>
      </c>
      <c r="D33" s="38">
        <v>45111</v>
      </c>
      <c r="E33" s="39">
        <v>262.02</v>
      </c>
      <c r="F33" s="38">
        <v>45111</v>
      </c>
      <c r="G33" s="39">
        <v>262.02</v>
      </c>
      <c r="H33">
        <f>ROW()</f>
        <v>33</v>
      </c>
    </row>
    <row r="34" spans="1:8" x14ac:dyDescent="0.25">
      <c r="A34" s="18">
        <v>31</v>
      </c>
      <c r="B34" t="s">
        <v>66</v>
      </c>
      <c r="C34" t="s">
        <v>69</v>
      </c>
      <c r="D34" s="38">
        <v>45139</v>
      </c>
      <c r="E34" s="39">
        <v>411.51</v>
      </c>
      <c r="F34" s="38">
        <v>45139</v>
      </c>
      <c r="G34" s="39">
        <v>411.51</v>
      </c>
      <c r="H34">
        <f>ROW()</f>
        <v>34</v>
      </c>
    </row>
    <row r="35" spans="1:8" x14ac:dyDescent="0.25">
      <c r="A35" s="18">
        <v>32</v>
      </c>
      <c r="B35" t="s">
        <v>67</v>
      </c>
      <c r="C35" t="s">
        <v>69</v>
      </c>
      <c r="D35" s="38">
        <v>45047</v>
      </c>
      <c r="E35" s="39">
        <v>92.35</v>
      </c>
      <c r="F35" s="38">
        <v>45047</v>
      </c>
      <c r="G35" s="39">
        <v>92.35</v>
      </c>
      <c r="H35">
        <f>ROW()</f>
        <v>35</v>
      </c>
    </row>
    <row r="36" spans="1:8" x14ac:dyDescent="0.25">
      <c r="A36" s="18">
        <v>33</v>
      </c>
      <c r="B36" t="s">
        <v>66</v>
      </c>
      <c r="C36" t="s">
        <v>68</v>
      </c>
      <c r="D36" s="38">
        <v>45051</v>
      </c>
      <c r="E36" s="39">
        <v>38.229999999999997</v>
      </c>
      <c r="F36" s="38">
        <v>45051</v>
      </c>
      <c r="G36" s="39">
        <v>38.229999999999997</v>
      </c>
      <c r="H36">
        <f>ROW()</f>
        <v>36</v>
      </c>
    </row>
    <row r="37" spans="1:8" x14ac:dyDescent="0.25">
      <c r="A37" s="18">
        <v>34</v>
      </c>
      <c r="B37" t="s">
        <v>67</v>
      </c>
      <c r="C37" t="s">
        <v>68</v>
      </c>
      <c r="D37" s="38">
        <v>45056</v>
      </c>
      <c r="E37" s="39">
        <v>32.9</v>
      </c>
      <c r="F37" s="38">
        <v>45056</v>
      </c>
      <c r="G37" s="39">
        <v>32.9</v>
      </c>
      <c r="H37">
        <f>ROW()</f>
        <v>37</v>
      </c>
    </row>
    <row r="38" spans="1:8" x14ac:dyDescent="0.25">
      <c r="A38" s="18">
        <v>35</v>
      </c>
      <c r="B38" t="s">
        <v>66</v>
      </c>
      <c r="C38" t="s">
        <v>69</v>
      </c>
      <c r="D38" s="38">
        <v>45170</v>
      </c>
      <c r="E38" s="39">
        <v>101.97</v>
      </c>
      <c r="F38" s="38">
        <v>45170</v>
      </c>
      <c r="G38" s="39">
        <v>101.97</v>
      </c>
      <c r="H38">
        <f>ROW()</f>
        <v>38</v>
      </c>
    </row>
    <row r="39" spans="1:8" x14ac:dyDescent="0.25">
      <c r="A39" s="18">
        <v>36</v>
      </c>
      <c r="B39" t="s">
        <v>67</v>
      </c>
      <c r="C39" t="s">
        <v>69</v>
      </c>
      <c r="D39" s="38">
        <v>45200</v>
      </c>
      <c r="E39" s="39">
        <v>262.02</v>
      </c>
      <c r="F39" s="38">
        <v>45200</v>
      </c>
      <c r="G39" s="39">
        <v>262.02</v>
      </c>
      <c r="H39">
        <f>ROW()</f>
        <v>39</v>
      </c>
    </row>
    <row r="40" spans="1:8" x14ac:dyDescent="0.25">
      <c r="A40" s="18">
        <v>37</v>
      </c>
      <c r="B40" t="s">
        <v>66</v>
      </c>
      <c r="C40" t="s">
        <v>68</v>
      </c>
      <c r="D40" s="38">
        <v>45057</v>
      </c>
      <c r="E40" s="39">
        <v>411.51</v>
      </c>
      <c r="F40" s="38">
        <v>45057</v>
      </c>
      <c r="G40" s="39">
        <v>411.51</v>
      </c>
      <c r="H40">
        <f>ROW()</f>
        <v>40</v>
      </c>
    </row>
    <row r="41" spans="1:8" x14ac:dyDescent="0.25">
      <c r="A41" s="18">
        <v>38</v>
      </c>
      <c r="B41" t="s">
        <v>67</v>
      </c>
      <c r="C41" t="s">
        <v>68</v>
      </c>
      <c r="D41" s="38">
        <v>45073</v>
      </c>
      <c r="E41" s="39">
        <v>92.35</v>
      </c>
      <c r="F41" s="38">
        <v>45073</v>
      </c>
      <c r="G41" s="39">
        <v>92.35</v>
      </c>
      <c r="H41">
        <f>ROW()</f>
        <v>41</v>
      </c>
    </row>
    <row r="42" spans="1:8" x14ac:dyDescent="0.25">
      <c r="A42" s="18"/>
      <c r="D42" s="38"/>
    </row>
  </sheetData>
  <mergeCells count="1">
    <mergeCell ref="A1:G2"/>
  </mergeCells>
  <conditionalFormatting sqref="A4:E42">
    <cfRule type="expression" dxfId="3" priority="2">
      <formula>AND($A4&lt;&gt;"",MOD(ROW(),2)=0)</formula>
    </cfRule>
  </conditionalFormatting>
  <conditionalFormatting sqref="F4:G41">
    <cfRule type="expression" dxfId="2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F7E47-1412-4C77-96AC-1892C3718A93}">
  <sheetPr codeName="Sheet7"/>
  <dimension ref="A1:F12"/>
  <sheetViews>
    <sheetView workbookViewId="0">
      <selection activeCell="I20" sqref="I20"/>
    </sheetView>
  </sheetViews>
  <sheetFormatPr defaultRowHeight="15" x14ac:dyDescent="0.25"/>
  <cols>
    <col min="2" max="2" width="18" customWidth="1"/>
    <col min="3" max="3" width="17" customWidth="1"/>
    <col min="4" max="4" width="7.42578125" customWidth="1"/>
  </cols>
  <sheetData>
    <row r="1" spans="1:6" x14ac:dyDescent="0.25">
      <c r="A1" s="90" t="s">
        <v>95</v>
      </c>
      <c r="B1" s="90"/>
      <c r="C1" s="90"/>
      <c r="D1" s="90"/>
      <c r="E1" s="90"/>
      <c r="F1" s="90"/>
    </row>
    <row r="2" spans="1:6" x14ac:dyDescent="0.25">
      <c r="A2" s="91"/>
      <c r="B2" s="91"/>
      <c r="C2" s="91"/>
      <c r="D2" s="91"/>
      <c r="E2" s="91"/>
      <c r="F2" s="91"/>
    </row>
    <row r="3" spans="1:6" x14ac:dyDescent="0.25">
      <c r="A3" s="28" t="s">
        <v>96</v>
      </c>
      <c r="B3" s="28" t="s">
        <v>17</v>
      </c>
      <c r="C3" s="28" t="s">
        <v>99</v>
      </c>
      <c r="D3" s="28" t="s">
        <v>18</v>
      </c>
      <c r="E3" s="28" t="s">
        <v>97</v>
      </c>
      <c r="F3" s="28" t="s">
        <v>98</v>
      </c>
    </row>
    <row r="4" spans="1:6" x14ac:dyDescent="0.25">
      <c r="A4" s="18">
        <v>1</v>
      </c>
      <c r="B4" s="43" t="s">
        <v>82</v>
      </c>
      <c r="C4" t="s">
        <v>100</v>
      </c>
      <c r="D4">
        <v>10</v>
      </c>
      <c r="E4">
        <v>4</v>
      </c>
      <c r="F4">
        <f>ROW()</f>
        <v>4</v>
      </c>
    </row>
    <row r="5" spans="1:6" x14ac:dyDescent="0.25">
      <c r="A5" s="18">
        <v>2</v>
      </c>
      <c r="B5" s="46" t="s">
        <v>83</v>
      </c>
      <c r="C5" t="s">
        <v>101</v>
      </c>
      <c r="D5">
        <v>1</v>
      </c>
      <c r="E5">
        <v>5</v>
      </c>
      <c r="F5">
        <f>ROW()</f>
        <v>5</v>
      </c>
    </row>
    <row r="6" spans="1:6" x14ac:dyDescent="0.25">
      <c r="A6" s="18">
        <v>3</v>
      </c>
      <c r="B6" s="46" t="s">
        <v>84</v>
      </c>
      <c r="C6" t="s">
        <v>102</v>
      </c>
      <c r="D6">
        <v>10</v>
      </c>
      <c r="E6">
        <v>6</v>
      </c>
      <c r="F6">
        <f>ROW()</f>
        <v>6</v>
      </c>
    </row>
    <row r="7" spans="1:6" x14ac:dyDescent="0.25">
      <c r="A7" s="18">
        <v>4</v>
      </c>
      <c r="B7" s="47" t="s">
        <v>85</v>
      </c>
      <c r="C7" t="s">
        <v>103</v>
      </c>
      <c r="D7">
        <v>10</v>
      </c>
      <c r="E7">
        <v>7</v>
      </c>
      <c r="F7">
        <f>ROW()</f>
        <v>7</v>
      </c>
    </row>
    <row r="8" spans="1:6" x14ac:dyDescent="0.25">
      <c r="A8" s="18">
        <v>5</v>
      </c>
      <c r="B8" s="47" t="s">
        <v>86</v>
      </c>
      <c r="C8" t="s">
        <v>104</v>
      </c>
      <c r="D8">
        <v>5</v>
      </c>
      <c r="E8">
        <v>8</v>
      </c>
      <c r="F8">
        <f>ROW()</f>
        <v>8</v>
      </c>
    </row>
    <row r="9" spans="1:6" x14ac:dyDescent="0.25">
      <c r="A9" s="18">
        <v>6</v>
      </c>
      <c r="B9" s="45" t="s">
        <v>87</v>
      </c>
      <c r="C9" t="s">
        <v>100</v>
      </c>
      <c r="D9">
        <v>5</v>
      </c>
      <c r="E9">
        <v>9</v>
      </c>
      <c r="F9">
        <f>ROW()</f>
        <v>9</v>
      </c>
    </row>
    <row r="10" spans="1:6" x14ac:dyDescent="0.25">
      <c r="A10" s="18">
        <v>7</v>
      </c>
      <c r="B10" t="s">
        <v>88</v>
      </c>
      <c r="C10" t="s">
        <v>102</v>
      </c>
      <c r="D10">
        <v>1</v>
      </c>
      <c r="E10">
        <v>10</v>
      </c>
      <c r="F10">
        <f>ROW()</f>
        <v>10</v>
      </c>
    </row>
    <row r="11" spans="1:6" x14ac:dyDescent="0.25">
      <c r="A11" s="18">
        <v>8</v>
      </c>
      <c r="B11" t="s">
        <v>89</v>
      </c>
      <c r="C11" t="s">
        <v>104</v>
      </c>
      <c r="D11">
        <v>1</v>
      </c>
      <c r="E11">
        <v>11</v>
      </c>
      <c r="F11">
        <f>ROW()</f>
        <v>11</v>
      </c>
    </row>
    <row r="12" spans="1:6" x14ac:dyDescent="0.25">
      <c r="A12" s="18"/>
    </row>
  </sheetData>
  <mergeCells count="1">
    <mergeCell ref="A1:F2"/>
  </mergeCells>
  <conditionalFormatting sqref="A4:A12 C4:F11">
    <cfRule type="expression" dxfId="1" priority="2">
      <formula>AND($A4&lt;&gt;"",MOD(ROW(),2)=0)</formula>
    </cfRule>
  </conditionalFormatting>
  <conditionalFormatting sqref="B4 B9">
    <cfRule type="expression" dxfId="0" priority="1">
      <formula>AND($A4&lt;&gt;"",MOD(ROW(),2)=0)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Inventory Management</vt:lpstr>
      <vt:lpstr>Dashboard Data</vt:lpstr>
      <vt:lpstr>Students </vt:lpstr>
      <vt:lpstr>Suppliers</vt:lpstr>
      <vt:lpstr>Items </vt:lpstr>
      <vt:lpstr>Orders</vt:lpstr>
      <vt:lpstr>ORDER ITEMS</vt:lpstr>
      <vt:lpstr>Suppliers!Criteria</vt:lpstr>
      <vt:lpstr>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2023-12-11T06:07:18Z</dcterms:created>
  <dcterms:modified xsi:type="dcterms:W3CDTF">2023-12-12T18:28:49Z</dcterms:modified>
</cp:coreProperties>
</file>